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500" firstSheet="0" activeTab="0" autoFilterDateGrouping="1"/>
  </bookViews>
  <sheets>
    <sheet xmlns:r="http://schemas.openxmlformats.org/officeDocument/2006/relationships" name="Log" sheetId="1" state="visible" r:id="rId1"/>
    <sheet xmlns:r="http://schemas.openxmlformats.org/officeDocument/2006/relationships" name="Reference" sheetId="2" state="visible" r:id="rId2"/>
  </sheets>
  <definedNames/>
  <calcPr calcId="0" fullCalcOnLoad="1" iterateDelta="0.0001"/>
</workbook>
</file>

<file path=xl/styles.xml><?xml version="1.0" encoding="utf-8"?>
<styleSheet xmlns="http://schemas.openxmlformats.org/spreadsheetml/2006/main">
  <numFmts count="2">
    <numFmt numFmtId="164" formatCode="0.0"/>
    <numFmt numFmtId="165" formatCode="+0.0;-0.0;0.0"/>
  </numFmts>
  <fonts count="9">
    <font>
      <name val="Calibri"/>
      <charset val="1"/>
      <family val="2"/>
      <color theme="1"/>
      <sz val="11"/>
    </font>
    <font>
      <name val="Arial"/>
      <charset val="1"/>
      <b val="1"/>
      <color rgb="FFFFFFFF"/>
      <sz val="11"/>
    </font>
    <font>
      <name val="Arial"/>
      <charset val="1"/>
      <family val="2"/>
      <sz val="11"/>
    </font>
    <font>
      <name val="Arial"/>
      <charset val="1"/>
      <b val="1"/>
      <color rgb="FFFFFFFF"/>
      <sz val="10"/>
    </font>
    <font>
      <name val="Arial"/>
      <charset val="1"/>
      <sz val="10"/>
    </font>
    <font>
      <name val="Arial"/>
      <charset val="1"/>
      <b val="1"/>
      <sz val="10"/>
    </font>
    <font>
      <name val="Calibri"/>
      <b val="1"/>
      <color rgb="FFFFFFFF"/>
      <sz val="11"/>
    </font>
    <font>
      <name val="Calibri"/>
      <sz val="11"/>
    </font>
    <font>
      <name val="Calibri"/>
      <b val="1"/>
      <sz val="11"/>
    </font>
  </fonts>
  <fills count="9">
    <fill>
      <patternFill/>
    </fill>
    <fill>
      <patternFill patternType="gray125"/>
    </fill>
    <fill>
      <patternFill patternType="solid">
        <fgColor rgb="FF1F6FB2"/>
        <bgColor rgb="FF008080"/>
      </patternFill>
    </fill>
    <fill>
      <patternFill patternType="solid">
        <fgColor rgb="FFC4C4C4"/>
      </patternFill>
    </fill>
    <fill>
      <patternFill patternType="solid">
        <fgColor rgb="00C4C4C4"/>
      </patternFill>
    </fill>
    <fill>
      <patternFill patternType="solid">
        <fgColor rgb="00DDEBF7"/>
      </patternFill>
    </fill>
    <fill>
      <patternFill patternType="solid">
        <fgColor rgb="FF1F6FB2"/>
      </patternFill>
    </fill>
    <fill>
      <patternFill patternType="solid">
        <fgColor rgb="FFBDD7EE"/>
      </patternFill>
    </fill>
    <fill>
      <patternFill patternType="solid">
        <fgColor rgb="FF9DC3E6"/>
      </patternFill>
    </fill>
  </fills>
  <borders count="30">
    <border>
      <left/>
      <right/>
      <top/>
      <bottom/>
      <diagonal/>
    </border>
    <border>
      <left style="thin">
        <color auto="1"/>
      </left>
      <right style="thin">
        <color auto="1"/>
      </right>
      <top style="thin">
        <color auto="1"/>
      </top>
      <bottom style="thin">
        <color auto="1"/>
      </bottom>
      <diagonal/>
    </border>
    <border>
      <left style="medium">
        <color rgb="FF333333"/>
      </left>
      <right style="thin">
        <color rgb="FF808080"/>
      </right>
      <top style="medium">
        <color rgb="FF333333"/>
      </top>
      <bottom style="medium">
        <color rgb="FF333333"/>
      </bottom>
      <diagonal/>
    </border>
    <border>
      <left style="thin">
        <color rgb="FF808080"/>
      </left>
      <right style="thin">
        <color rgb="FF808080"/>
      </right>
      <top style="medium">
        <color rgb="FF333333"/>
      </top>
      <bottom style="medium">
        <color rgb="FF333333"/>
      </bottom>
      <diagonal/>
    </border>
    <border>
      <left style="thin">
        <color rgb="FF808080"/>
      </left>
      <right style="medium">
        <color rgb="FF333333"/>
      </right>
      <top style="medium">
        <color rgb="FF333333"/>
      </top>
      <bottom style="medium">
        <color rgb="FF333333"/>
      </bottom>
      <diagonal/>
    </border>
    <border>
      <left style="medium">
        <color rgb="FF333333"/>
      </left>
      <right style="thin">
        <color rgb="FF808080"/>
      </right>
      <top style="medium">
        <color rgb="FF333333"/>
      </top>
      <bottom style="thin">
        <color rgb="FF808080"/>
      </bottom>
      <diagonal/>
    </border>
    <border>
      <left style="thin">
        <color rgb="FF808080"/>
      </left>
      <right style="thin">
        <color rgb="FF808080"/>
      </right>
      <top style="medium">
        <color rgb="FF333333"/>
      </top>
      <bottom style="thin">
        <color rgb="FF808080"/>
      </bottom>
      <diagonal/>
    </border>
    <border>
      <left style="thin">
        <color rgb="FF808080"/>
      </left>
      <right style="medium">
        <color rgb="FF333333"/>
      </right>
      <top style="medium">
        <color rgb="FF333333"/>
      </top>
      <bottom style="thin">
        <color rgb="FF808080"/>
      </bottom>
      <diagonal/>
    </border>
    <border>
      <left style="medium">
        <color rgb="FF333333"/>
      </left>
      <right style="thin">
        <color rgb="FF808080"/>
      </right>
      <top style="thin">
        <color rgb="FF808080"/>
      </top>
      <bottom style="medium">
        <color rgb="FF333333"/>
      </bottom>
      <diagonal/>
    </border>
    <border>
      <left style="thin">
        <color rgb="FF808080"/>
      </left>
      <right style="thin">
        <color rgb="FF808080"/>
      </right>
      <top style="thin">
        <color rgb="FF808080"/>
      </top>
      <bottom style="medium">
        <color rgb="FF333333"/>
      </bottom>
      <diagonal/>
    </border>
    <border>
      <left style="thin">
        <color rgb="FF808080"/>
      </left>
      <right style="medium">
        <color rgb="FF333333"/>
      </right>
      <top style="thin">
        <color rgb="FF808080"/>
      </top>
      <bottom style="medium">
        <color rgb="FF333333"/>
      </bottom>
      <diagonal/>
    </border>
    <border>
      <left style="medium">
        <color rgb="FF333333"/>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medium">
        <color rgb="FF333333"/>
      </right>
      <top style="thin">
        <color rgb="FF808080"/>
      </top>
      <bottom style="thin">
        <color rgb="FF808080"/>
      </bottom>
      <diagonal/>
    </border>
    <border>
      <left style="medium">
        <color rgb="00333333"/>
      </left>
      <right style="thin">
        <color rgb="00808080"/>
      </right>
      <top style="medium">
        <color rgb="00333333"/>
      </top>
      <bottom style="medium">
        <color rgb="00333333"/>
      </bottom>
    </border>
    <border>
      <left style="thin">
        <color rgb="00808080"/>
      </left>
      <right style="thin">
        <color rgb="00808080"/>
      </right>
      <top style="medium">
        <color rgb="00333333"/>
      </top>
      <bottom style="medium">
        <color rgb="00333333"/>
      </bottom>
    </border>
    <border>
      <left style="thin">
        <color rgb="00808080"/>
      </left>
      <right style="medium">
        <color rgb="00333333"/>
      </right>
      <top style="medium">
        <color rgb="00333333"/>
      </top>
      <bottom style="medium">
        <color rgb="00333333"/>
      </bottom>
    </border>
    <border>
      <left style="medium">
        <color rgb="00333333"/>
      </left>
      <right style="thin">
        <color rgb="00808080"/>
      </right>
      <top style="medium">
        <color rgb="00333333"/>
      </top>
      <bottom style="thin">
        <color rgb="00808080"/>
      </bottom>
    </border>
    <border>
      <left style="thin">
        <color rgb="00808080"/>
      </left>
      <right style="thin">
        <color rgb="00808080"/>
      </right>
      <top style="medium">
        <color rgb="00333333"/>
      </top>
      <bottom style="thin">
        <color rgb="00808080"/>
      </bottom>
    </border>
    <border>
      <left style="thin">
        <color rgb="00808080"/>
      </left>
      <right style="medium">
        <color rgb="00333333"/>
      </right>
      <top style="medium">
        <color rgb="00333333"/>
      </top>
      <bottom style="thin">
        <color rgb="00808080"/>
      </bottom>
    </border>
    <border>
      <left style="medium">
        <color rgb="00333333"/>
      </left>
      <right style="thin">
        <color rgb="00808080"/>
      </right>
      <top style="thin">
        <color rgb="00808080"/>
      </top>
      <bottom style="medium">
        <color rgb="00333333"/>
      </bottom>
    </border>
    <border>
      <left style="thin">
        <color rgb="00808080"/>
      </left>
      <right style="thin">
        <color rgb="00808080"/>
      </right>
      <top style="thin">
        <color rgb="00808080"/>
      </top>
      <bottom style="medium">
        <color rgb="00333333"/>
      </bottom>
    </border>
    <border>
      <left style="thin">
        <color rgb="00808080"/>
      </left>
      <right style="medium">
        <color rgb="00333333"/>
      </right>
      <top style="thin">
        <color rgb="00808080"/>
      </top>
      <bottom style="medium">
        <color rgb="00333333"/>
      </bottom>
    </border>
    <border>
      <left style="medium">
        <color rgb="00333333"/>
      </left>
      <right style="thin">
        <color rgb="00808080"/>
      </right>
      <top style="thin">
        <color rgb="00808080"/>
      </top>
      <bottom style="thin">
        <color rgb="00808080"/>
      </bottom>
    </border>
    <border>
      <left style="thin">
        <color rgb="00808080"/>
      </left>
      <right style="thin">
        <color rgb="00808080"/>
      </right>
      <top style="thin">
        <color rgb="00808080"/>
      </top>
      <bottom style="thin">
        <color rgb="00808080"/>
      </bottom>
    </border>
    <border>
      <left style="thin">
        <color rgb="00808080"/>
      </left>
      <right style="medium">
        <color rgb="00333333"/>
      </right>
      <top style="thin">
        <color rgb="00808080"/>
      </top>
      <bottom style="thin">
        <color rgb="00808080"/>
      </bottom>
    </border>
    <border>
      <left/>
      <right/>
      <top style="medium">
        <color rgb="00333333"/>
      </top>
      <bottom/>
      <diagonal/>
    </border>
    <border>
      <left/>
      <right style="thin">
        <color rgb="00808080"/>
      </right>
      <top style="medium">
        <color rgb="00333333"/>
      </top>
      <bottom/>
      <diagonal/>
    </border>
    <border>
      <left/>
      <right/>
      <top style="medium">
        <color rgb="00333333"/>
      </top>
      <bottom style="medium">
        <color rgb="00333333"/>
      </bottom>
      <diagonal/>
    </border>
    <border>
      <left/>
      <right style="thin">
        <color rgb="00808080"/>
      </right>
      <top style="medium">
        <color rgb="00333333"/>
      </top>
      <bottom style="medium">
        <color rgb="00333333"/>
      </bottom>
      <diagonal/>
    </border>
  </borders>
  <cellStyleXfs count="1">
    <xf numFmtId="0" fontId="0" fillId="0" borderId="0"/>
  </cellStyleXfs>
  <cellXfs count="12299">
    <xf numFmtId="0" fontId="0" fillId="0" borderId="0" pivotButton="0" quotePrefix="0" xfId="0"/>
    <xf numFmtId="0" fontId="3" fillId="2" borderId="1" applyAlignment="1" pivotButton="0" quotePrefix="0" xfId="0">
      <alignment vertical="center"/>
    </xf>
    <xf numFmtId="0" fontId="4" fillId="0" borderId="1" applyAlignment="1" pivotButton="0" quotePrefix="0" xfId="0">
      <alignment vertical="center" wrapText="1"/>
    </xf>
    <xf numFmtId="0" fontId="5" fillId="0" borderId="1" applyAlignment="1" pivotButton="0" quotePrefix="0" xfId="0">
      <alignment vertical="center"/>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2" fillId="0" borderId="5" applyAlignment="1" pivotButton="0" quotePrefix="0" xfId="0">
      <alignment horizontal="center" vertical="center"/>
    </xf>
    <xf numFmtId="0" fontId="2" fillId="0" borderId="6" applyAlignment="1" pivotButton="0" quotePrefix="0" xfId="0">
      <alignment horizontal="center" vertical="center"/>
    </xf>
    <xf numFmtId="164" fontId="2" fillId="0" borderId="6" applyAlignment="1" pivotButton="0" quotePrefix="0" xfId="0">
      <alignment horizontal="center" vertical="center"/>
    </xf>
    <xf numFmtId="1" fontId="2" fillId="0" borderId="6" applyAlignment="1" pivotButton="0" quotePrefix="0" xfId="0">
      <alignment horizontal="center" vertical="center"/>
    </xf>
    <xf numFmtId="164" fontId="0" fillId="0" borderId="6" applyAlignment="1" pivotButton="0" quotePrefix="0" xfId="0">
      <alignment horizontal="center" vertical="center"/>
    </xf>
    <xf numFmtId="2" fontId="0" fillId="0" borderId="6" applyAlignment="1" pivotButton="0" quotePrefix="0" xfId="0">
      <alignment horizontal="center" vertical="center"/>
    </xf>
    <xf numFmtId="1" fontId="0" fillId="0" borderId="6" applyAlignment="1" pivotButton="0" quotePrefix="0" xfId="0">
      <alignment horizontal="center" vertical="center"/>
    </xf>
    <xf numFmtId="0" fontId="0" fillId="0" borderId="6" applyAlignment="1" pivotButton="0" quotePrefix="0" xfId="0">
      <alignment horizontal="left" vertical="center" wrapText="1"/>
    </xf>
    <xf numFmtId="0" fontId="0" fillId="0" borderId="6" applyAlignment="1" pivotButton="0" quotePrefix="0" xfId="0">
      <alignment horizontal="center" vertical="center"/>
    </xf>
    <xf numFmtId="0" fontId="0" fillId="0" borderId="7" applyAlignment="1" pivotButton="0" quotePrefix="0" xfId="0">
      <alignment horizontal="left" vertical="center" wrapText="1"/>
    </xf>
    <xf numFmtId="0" fontId="2" fillId="0" borderId="8" applyAlignment="1" pivotButton="0" quotePrefix="0" xfId="0">
      <alignment horizontal="center" vertical="center"/>
    </xf>
    <xf numFmtId="0" fontId="2" fillId="0" borderId="9" applyAlignment="1" pivotButton="0" quotePrefix="0" xfId="0">
      <alignment horizontal="center" vertical="center"/>
    </xf>
    <xf numFmtId="164" fontId="2" fillId="0" borderId="9" applyAlignment="1" pivotButton="0" quotePrefix="0" xfId="0">
      <alignment horizontal="center" vertical="center"/>
    </xf>
    <xf numFmtId="1" fontId="2" fillId="0" borderId="9" applyAlignment="1" pivotButton="0" quotePrefix="0" xfId="0">
      <alignment horizontal="center" vertical="center"/>
    </xf>
    <xf numFmtId="164" fontId="0" fillId="0" borderId="9" applyAlignment="1" pivotButton="0" quotePrefix="0" xfId="0">
      <alignment horizontal="center" vertical="center"/>
    </xf>
    <xf numFmtId="2" fontId="0" fillId="0" borderId="9" applyAlignment="1" pivotButton="0" quotePrefix="0" xfId="0">
      <alignment horizontal="center" vertical="center"/>
    </xf>
    <xf numFmtId="1" fontId="0" fillId="0" borderId="9" applyAlignment="1" pivotButton="0" quotePrefix="0" xfId="0">
      <alignment horizontal="center" vertical="center"/>
    </xf>
    <xf numFmtId="0" fontId="0" fillId="0" borderId="9" applyAlignment="1" pivotButton="0" quotePrefix="0" xfId="0">
      <alignment horizontal="left" vertical="center" wrapText="1"/>
    </xf>
    <xf numFmtId="0" fontId="0" fillId="0" borderId="9" applyAlignment="1" pivotButton="0" quotePrefix="0" xfId="0">
      <alignment horizontal="center" vertical="center"/>
    </xf>
    <xf numFmtId="0" fontId="0" fillId="0" borderId="10" applyAlignment="1" pivotButton="0" quotePrefix="0" xfId="0">
      <alignment horizontal="left" vertical="center" wrapText="1"/>
    </xf>
    <xf numFmtId="0" fontId="2" fillId="3" borderId="5" applyAlignment="1" pivotButton="0" quotePrefix="0" xfId="0">
      <alignment horizontal="center" vertical="center"/>
    </xf>
    <xf numFmtId="0" fontId="2" fillId="3" borderId="6" applyAlignment="1" pivotButton="0" quotePrefix="0" xfId="0">
      <alignment horizontal="center" vertical="center"/>
    </xf>
    <xf numFmtId="164" fontId="2" fillId="3" borderId="6" applyAlignment="1" pivotButton="0" quotePrefix="0" xfId="0">
      <alignment horizontal="center" vertical="center"/>
    </xf>
    <xf numFmtId="1" fontId="2" fillId="3" borderId="6" applyAlignment="1" pivotButton="0" quotePrefix="0" xfId="0">
      <alignment horizontal="center" vertical="center"/>
    </xf>
    <xf numFmtId="2" fontId="0" fillId="3" borderId="6" applyAlignment="1" pivotButton="0" quotePrefix="0" xfId="0">
      <alignment horizontal="center" vertical="center"/>
    </xf>
    <xf numFmtId="1" fontId="0" fillId="3" borderId="6" applyAlignment="1" pivotButton="0" quotePrefix="0" xfId="0">
      <alignment horizontal="center" vertical="center"/>
    </xf>
    <xf numFmtId="0" fontId="0" fillId="3" borderId="6" applyAlignment="1" pivotButton="0" quotePrefix="0" xfId="0">
      <alignment horizontal="left" vertical="center" wrapText="1"/>
    </xf>
    <xf numFmtId="0" fontId="0" fillId="3" borderId="6" applyAlignment="1" pivotButton="0" quotePrefix="0" xfId="0">
      <alignment horizontal="center" vertical="center"/>
    </xf>
    <xf numFmtId="0" fontId="0" fillId="3" borderId="7" applyAlignment="1" pivotButton="0" quotePrefix="0" xfId="0">
      <alignment horizontal="left" vertical="center" wrapText="1"/>
    </xf>
    <xf numFmtId="0" fontId="2" fillId="3" borderId="11" applyAlignment="1" pivotButton="0" quotePrefix="0" xfId="0">
      <alignment horizontal="center" vertical="center"/>
    </xf>
    <xf numFmtId="0" fontId="2" fillId="3" borderId="12" applyAlignment="1" pivotButton="0" quotePrefix="0" xfId="0">
      <alignment horizontal="center" vertical="center"/>
    </xf>
    <xf numFmtId="164" fontId="2" fillId="3" borderId="12" applyAlignment="1" pivotButton="0" quotePrefix="0" xfId="0">
      <alignment horizontal="center" vertical="center"/>
    </xf>
    <xf numFmtId="1" fontId="2" fillId="3" borderId="12" applyAlignment="1" pivotButton="0" quotePrefix="0" xfId="0">
      <alignment horizontal="center" vertical="center"/>
    </xf>
    <xf numFmtId="164" fontId="0" fillId="3" borderId="12" applyAlignment="1" pivotButton="0" quotePrefix="0" xfId="0">
      <alignment horizontal="center" vertical="center"/>
    </xf>
    <xf numFmtId="2" fontId="0" fillId="3" borderId="12" applyAlignment="1" pivotButton="0" quotePrefix="0" xfId="0">
      <alignment horizontal="center" vertical="center"/>
    </xf>
    <xf numFmtId="1" fontId="0" fillId="3" borderId="12" applyAlignment="1" pivotButton="0" quotePrefix="0" xfId="0">
      <alignment horizontal="center" vertical="center"/>
    </xf>
    <xf numFmtId="0" fontId="0" fillId="3" borderId="12" applyAlignment="1" pivotButton="0" quotePrefix="0" xfId="0">
      <alignment horizontal="left" vertical="center" wrapText="1"/>
    </xf>
    <xf numFmtId="0" fontId="0" fillId="3" borderId="12" applyAlignment="1" pivotButton="0" quotePrefix="0" xfId="0">
      <alignment horizontal="center" vertical="center"/>
    </xf>
    <xf numFmtId="0" fontId="0" fillId="3" borderId="13" applyAlignment="1" pivotButton="0" quotePrefix="0" xfId="0">
      <alignment horizontal="left" vertical="center" wrapText="1"/>
    </xf>
    <xf numFmtId="0" fontId="2" fillId="3" borderId="8" applyAlignment="1" pivotButton="0" quotePrefix="0" xfId="0">
      <alignment horizontal="center" vertical="center"/>
    </xf>
    <xf numFmtId="0" fontId="2" fillId="3" borderId="9" applyAlignment="1" pivotButton="0" quotePrefix="0" xfId="0">
      <alignment horizontal="center" vertical="center"/>
    </xf>
    <xf numFmtId="164" fontId="2" fillId="3" borderId="9" applyAlignment="1" pivotButton="0" quotePrefix="0" xfId="0">
      <alignment horizontal="center" vertical="center"/>
    </xf>
    <xf numFmtId="1" fontId="2" fillId="3" borderId="9" applyAlignment="1" pivotButton="0" quotePrefix="0" xfId="0">
      <alignment horizontal="center" vertical="center"/>
    </xf>
    <xf numFmtId="164" fontId="0" fillId="3" borderId="9" applyAlignment="1" pivotButton="0" quotePrefix="0" xfId="0">
      <alignment horizontal="center" vertical="center"/>
    </xf>
    <xf numFmtId="2" fontId="0" fillId="3" borderId="9" applyAlignment="1" pivotButton="0" quotePrefix="0" xfId="0">
      <alignment horizontal="center" vertical="center"/>
    </xf>
    <xf numFmtId="1" fontId="0" fillId="3" borderId="9" applyAlignment="1" pivotButton="0" quotePrefix="0" xfId="0">
      <alignment horizontal="center" vertical="center"/>
    </xf>
    <xf numFmtId="0" fontId="0" fillId="3" borderId="9" applyAlignment="1" pivotButton="0" quotePrefix="0" xfId="0">
      <alignment horizontal="left" vertical="center" wrapText="1"/>
    </xf>
    <xf numFmtId="0" fontId="0" fillId="3" borderId="9" applyAlignment="1" pivotButton="0" quotePrefix="0" xfId="0">
      <alignment horizontal="center" vertical="center"/>
    </xf>
    <xf numFmtId="0" fontId="0" fillId="3" borderId="10" applyAlignment="1" pivotButton="0" quotePrefix="0" xfId="0">
      <alignment horizontal="left" vertical="center" wrapText="1"/>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164" fontId="2" fillId="0" borderId="12" applyAlignment="1" pivotButton="0" quotePrefix="0" xfId="0">
      <alignment horizontal="center" vertical="center"/>
    </xf>
    <xf numFmtId="1" fontId="2" fillId="0" borderId="12" applyAlignment="1" pivotButton="0" quotePrefix="0" xfId="0">
      <alignment horizontal="center" vertical="center"/>
    </xf>
    <xf numFmtId="2" fontId="0" fillId="0" borderId="12" applyAlignment="1" pivotButton="0" quotePrefix="0" xfId="0">
      <alignment horizontal="center" vertical="center"/>
    </xf>
    <xf numFmtId="1" fontId="0" fillId="0" borderId="12" applyAlignment="1" pivotButton="0" quotePrefix="0" xfId="0">
      <alignment horizontal="center" vertical="center"/>
    </xf>
    <xf numFmtId="0" fontId="0" fillId="0" borderId="12" applyAlignment="1" pivotButton="0" quotePrefix="0" xfId="0">
      <alignment horizontal="left" vertical="center" wrapText="1"/>
    </xf>
    <xf numFmtId="0" fontId="0" fillId="0" borderId="12" applyAlignment="1" pivotButton="0" quotePrefix="0" xfId="0">
      <alignment horizontal="center" vertical="center"/>
    </xf>
    <xf numFmtId="0" fontId="0" fillId="0" borderId="13" applyAlignment="1" pivotButton="0" quotePrefix="0" xfId="0">
      <alignment horizontal="left" vertical="center" wrapText="1"/>
    </xf>
    <xf numFmtId="164" fontId="0" fillId="0" borderId="12" applyAlignment="1" pivotButton="0" quotePrefix="0" xfId="0">
      <alignment horizontal="center" vertical="center"/>
    </xf>
    <xf numFmtId="164" fontId="0" fillId="3" borderId="6" applyAlignment="1" pivotButton="0" quotePrefix="0" xfId="0">
      <alignment horizontal="center" vertical="center"/>
    </xf>
    <xf numFmtId="0" fontId="1" fillId="2" borderId="14" applyAlignment="1" pivotButton="0" quotePrefix="0" xfId="0">
      <alignment horizontal="center" vertical="center" wrapText="1"/>
    </xf>
    <xf numFmtId="0" fontId="1" fillId="2" borderId="15" applyAlignment="1" pivotButton="0" quotePrefix="0" xfId="0">
      <alignment horizontal="center" vertical="center" wrapText="1"/>
    </xf>
    <xf numFmtId="0" fontId="1" fillId="2" borderId="16" applyAlignment="1" pivotButton="0" quotePrefix="0" xfId="0">
      <alignment horizontal="center" vertical="center" wrapText="1"/>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left" vertical="center" wrapText="1"/>
    </xf>
    <xf numFmtId="0" fontId="0" fillId="0" borderId="18" applyAlignment="1" pivotButton="0" quotePrefix="0" xfId="0">
      <alignment horizontal="center" vertical="center"/>
    </xf>
    <xf numFmtId="0" fontId="0" fillId="0" borderId="19" applyAlignment="1" pivotButton="0" quotePrefix="0" xfId="0">
      <alignment horizontal="left" vertical="center" wrapText="1"/>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left" vertical="center" wrapText="1"/>
    </xf>
    <xf numFmtId="0" fontId="0" fillId="0" borderId="21" applyAlignment="1" pivotButton="0" quotePrefix="0" xfId="0">
      <alignment horizontal="center" vertical="center"/>
    </xf>
    <xf numFmtId="0" fontId="0" fillId="0" borderId="22" applyAlignment="1" pivotButton="0" quotePrefix="0" xfId="0">
      <alignment horizontal="left" vertical="center" wrapText="1"/>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left" vertical="center" wrapText="1"/>
    </xf>
    <xf numFmtId="0" fontId="0" fillId="4" borderId="18" applyAlignment="1" pivotButton="0" quotePrefix="0" xfId="0">
      <alignment horizontal="center" vertical="center"/>
    </xf>
    <xf numFmtId="0" fontId="0" fillId="4" borderId="19" applyAlignment="1" pivotButton="0" quotePrefix="0" xfId="0">
      <alignment horizontal="left" vertical="center" wrapText="1"/>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left" vertical="center" wrapText="1"/>
    </xf>
    <xf numFmtId="0" fontId="0" fillId="4" borderId="24" applyAlignment="1" pivotButton="0" quotePrefix="0" xfId="0">
      <alignment horizontal="center" vertical="center"/>
    </xf>
    <xf numFmtId="0" fontId="0" fillId="4" borderId="25" applyAlignment="1" pivotButton="0" quotePrefix="0" xfId="0">
      <alignment horizontal="left" vertical="center" wrapText="1"/>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left" vertical="center" wrapText="1"/>
    </xf>
    <xf numFmtId="0" fontId="0" fillId="4" borderId="21" applyAlignment="1" pivotButton="0" quotePrefix="0" xfId="0">
      <alignment horizontal="center" vertical="center"/>
    </xf>
    <xf numFmtId="0" fontId="0" fillId="4" borderId="22" applyAlignment="1" pivotButton="0" quotePrefix="0" xfId="0">
      <alignment horizontal="left" vertical="center" wrapText="1"/>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left" vertical="center" wrapText="1"/>
    </xf>
    <xf numFmtId="0" fontId="0" fillId="0" borderId="24" applyAlignment="1" pivotButton="0" quotePrefix="0" xfId="0">
      <alignment horizontal="center" vertical="center"/>
    </xf>
    <xf numFmtId="0" fontId="0" fillId="0" borderId="25" applyAlignment="1" pivotButton="0" quotePrefix="0" xfId="0">
      <alignment horizontal="left" vertical="center" wrapText="1"/>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0" fillId="4" borderId="20"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0" fillId="4" borderId="20"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0" fillId="4" borderId="20" applyAlignment="1" pivotButton="0" quotePrefix="0" xfId="0">
      <alignment horizontal="center" vertical="center"/>
    </xf>
    <xf numFmtId="0" fontId="0" fillId="0" borderId="20"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164" fontId="2" fillId="0" borderId="18" applyAlignment="1" pivotButton="0" quotePrefix="0" xfId="0">
      <alignment horizontal="center" vertical="center"/>
    </xf>
    <xf numFmtId="1" fontId="2" fillId="0" borderId="18" applyAlignment="1" pivotButton="0" quotePrefix="0" xfId="0">
      <alignment horizontal="center" vertical="center"/>
    </xf>
    <xf numFmtId="164" fontId="0" fillId="0" borderId="18" applyAlignment="1" pivotButton="0" quotePrefix="0" xfId="0">
      <alignment horizontal="center" vertical="center"/>
    </xf>
    <xf numFmtId="2" fontId="0" fillId="0" borderId="18" applyAlignment="1" pivotButton="0" quotePrefix="0" xfId="0">
      <alignment horizontal="center" vertical="center"/>
    </xf>
    <xf numFmtId="1" fontId="0" fillId="0" borderId="18" applyAlignment="1" pivotButton="0" quotePrefix="0" xfId="0">
      <alignment horizontal="center" vertical="center"/>
    </xf>
    <xf numFmtId="0" fontId="0" fillId="0" borderId="18"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164" fontId="2" fillId="0" borderId="21" applyAlignment="1" pivotButton="0" quotePrefix="0" xfId="0">
      <alignment horizontal="center" vertical="center"/>
    </xf>
    <xf numFmtId="1" fontId="2" fillId="0" borderId="21" applyAlignment="1" pivotButton="0" quotePrefix="0" xfId="0">
      <alignment horizontal="center" vertical="center"/>
    </xf>
    <xf numFmtId="164" fontId="0" fillId="0" borderId="21" applyAlignment="1" pivotButton="0" quotePrefix="0" xfId="0">
      <alignment horizontal="center" vertical="center"/>
    </xf>
    <xf numFmtId="2" fontId="0" fillId="0" borderId="21" applyAlignment="1" pivotButton="0" quotePrefix="0" xfId="0">
      <alignment horizontal="center" vertical="center"/>
    </xf>
    <xf numFmtId="1" fontId="0" fillId="0" borderId="21" applyAlignment="1" pivotButton="0" quotePrefix="0" xfId="0">
      <alignment horizontal="center" vertical="center"/>
    </xf>
    <xf numFmtId="0" fontId="0" fillId="0" borderId="21" applyAlignment="1" pivotButton="0" quotePrefix="0" xfId="0">
      <alignment horizontal="center" vertical="center"/>
    </xf>
    <xf numFmtId="0" fontId="2" fillId="4" borderId="17" applyAlignment="1" pivotButton="0" quotePrefix="0" xfId="0">
      <alignment horizontal="center" vertical="center"/>
    </xf>
    <xf numFmtId="0" fontId="2" fillId="4" borderId="18" applyAlignment="1" pivotButton="0" quotePrefix="0" xfId="0">
      <alignment horizontal="center" vertical="center"/>
    </xf>
    <xf numFmtId="164" fontId="2" fillId="4" borderId="18" applyAlignment="1" pivotButton="0" quotePrefix="0" xfId="0">
      <alignment horizontal="center" vertical="center"/>
    </xf>
    <xf numFmtId="1" fontId="2" fillId="4" borderId="18" applyAlignment="1" pivotButton="0" quotePrefix="0" xfId="0">
      <alignment horizontal="center" vertical="center"/>
    </xf>
    <xf numFmtId="2" fontId="0" fillId="4" borderId="18" applyAlignment="1" pivotButton="0" quotePrefix="0" xfId="0">
      <alignment horizontal="center" vertical="center"/>
    </xf>
    <xf numFmtId="1" fontId="0" fillId="4" borderId="18" applyAlignment="1" pivotButton="0" quotePrefix="0" xfId="0">
      <alignment horizontal="center" vertical="center"/>
    </xf>
    <xf numFmtId="0" fontId="0" fillId="4" borderId="18" applyAlignment="1" pivotButton="0" quotePrefix="0" xfId="0">
      <alignment horizontal="center" vertical="center"/>
    </xf>
    <xf numFmtId="0" fontId="2" fillId="4" borderId="23" applyAlignment="1" pivotButton="0" quotePrefix="0" xfId="0">
      <alignment horizontal="center" vertical="center"/>
    </xf>
    <xf numFmtId="0" fontId="2" fillId="4" borderId="24" applyAlignment="1" pivotButton="0" quotePrefix="0" xfId="0">
      <alignment horizontal="center" vertical="center"/>
    </xf>
    <xf numFmtId="164" fontId="2" fillId="4" borderId="24" applyAlignment="1" pivotButton="0" quotePrefix="0" xfId="0">
      <alignment horizontal="center" vertical="center"/>
    </xf>
    <xf numFmtId="1" fontId="2" fillId="4" borderId="24" applyAlignment="1" pivotButton="0" quotePrefix="0" xfId="0">
      <alignment horizontal="center" vertical="center"/>
    </xf>
    <xf numFmtId="164" fontId="0" fillId="4" borderId="24" applyAlignment="1" pivotButton="0" quotePrefix="0" xfId="0">
      <alignment horizontal="center" vertical="center"/>
    </xf>
    <xf numFmtId="2" fontId="0" fillId="4" borderId="24" applyAlignment="1" pivotButton="0" quotePrefix="0" xfId="0">
      <alignment horizontal="center" vertical="center"/>
    </xf>
    <xf numFmtId="1" fontId="0" fillId="4" borderId="24" applyAlignment="1" pivotButton="0" quotePrefix="0" xfId="0">
      <alignment horizontal="center" vertical="center"/>
    </xf>
    <xf numFmtId="0" fontId="0" fillId="4" borderId="24" applyAlignment="1" pivotButton="0" quotePrefix="0" xfId="0">
      <alignment horizontal="center" vertical="center"/>
    </xf>
    <xf numFmtId="0" fontId="2" fillId="4" borderId="20" applyAlignment="1" pivotButton="0" quotePrefix="0" xfId="0">
      <alignment horizontal="center" vertical="center"/>
    </xf>
    <xf numFmtId="0" fontId="2" fillId="4" borderId="21" applyAlignment="1" pivotButton="0" quotePrefix="0" xfId="0">
      <alignment horizontal="center" vertical="center"/>
    </xf>
    <xf numFmtId="164" fontId="2" fillId="4" borderId="21" applyAlignment="1" pivotButton="0" quotePrefix="0" xfId="0">
      <alignment horizontal="center" vertical="center"/>
    </xf>
    <xf numFmtId="1" fontId="2" fillId="4" borderId="21" applyAlignment="1" pivotButton="0" quotePrefix="0" xfId="0">
      <alignment horizontal="center" vertical="center"/>
    </xf>
    <xf numFmtId="164" fontId="0" fillId="4" borderId="21" applyAlignment="1" pivotButton="0" quotePrefix="0" xfId="0">
      <alignment horizontal="center" vertical="center"/>
    </xf>
    <xf numFmtId="2" fontId="0" fillId="4" borderId="21" applyAlignment="1" pivotButton="0" quotePrefix="0" xfId="0">
      <alignment horizontal="center" vertical="center"/>
    </xf>
    <xf numFmtId="1" fontId="0" fillId="4" borderId="21" applyAlignment="1" pivotButton="0" quotePrefix="0" xfId="0">
      <alignment horizontal="center" vertical="center"/>
    </xf>
    <xf numFmtId="0" fontId="0" fillId="4" borderId="21" applyAlignment="1" pivotButton="0" quotePrefix="0" xfId="0">
      <alignment horizontal="center" vertical="center"/>
    </xf>
    <xf numFmtId="0" fontId="2" fillId="0" borderId="23" applyAlignment="1" pivotButton="0" quotePrefix="0" xfId="0">
      <alignment horizontal="center" vertical="center"/>
    </xf>
    <xf numFmtId="0" fontId="2" fillId="0" borderId="24" applyAlignment="1" pivotButton="0" quotePrefix="0" xfId="0">
      <alignment horizontal="center" vertical="center"/>
    </xf>
    <xf numFmtId="164" fontId="2" fillId="0" borderId="24" applyAlignment="1" pivotButton="0" quotePrefix="0" xfId="0">
      <alignment horizontal="center" vertical="center"/>
    </xf>
    <xf numFmtId="1" fontId="2" fillId="0" borderId="24" applyAlignment="1" pivotButton="0" quotePrefix="0" xfId="0">
      <alignment horizontal="center" vertical="center"/>
    </xf>
    <xf numFmtId="2" fontId="0" fillId="0" borderId="24" applyAlignment="1" pivotButton="0" quotePrefix="0" xfId="0">
      <alignment horizontal="center" vertical="center"/>
    </xf>
    <xf numFmtId="1" fontId="0" fillId="0" borderId="24" applyAlignment="1" pivotButton="0" quotePrefix="0" xfId="0">
      <alignment horizontal="center" vertical="center"/>
    </xf>
    <xf numFmtId="0" fontId="0" fillId="0" borderId="24" applyAlignment="1" pivotButton="0" quotePrefix="0" xfId="0">
      <alignment horizontal="center" vertical="center"/>
    </xf>
    <xf numFmtId="164" fontId="0" fillId="0" borderId="24" applyAlignment="1" pivotButton="0" quotePrefix="0" xfId="0">
      <alignment horizontal="center" vertical="center"/>
    </xf>
    <xf numFmtId="164" fontId="0" fillId="4" borderId="18" applyAlignment="1" pivotButton="0" quotePrefix="0" xfId="0">
      <alignment horizontal="center" vertical="center"/>
    </xf>
    <xf numFmtId="0" fontId="0" fillId="4" borderId="20" applyAlignment="1" pivotButton="0" quotePrefix="0" xfId="0">
      <alignment horizontal="center" vertical="center"/>
    </xf>
    <xf numFmtId="0" fontId="0" fillId="0" borderId="20" applyAlignment="1" pivotButton="0" quotePrefix="0" xfId="0">
      <alignment horizontal="center" vertical="center"/>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6" fillId="2" borderId="16" applyAlignment="1" pivotButton="0" quotePrefix="0" xfId="0">
      <alignment horizontal="center"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8" applyAlignment="1" pivotButton="0" quotePrefix="0" xfId="0">
      <alignment horizontal="left" vertical="center" wrapText="1"/>
    </xf>
    <xf numFmtId="0" fontId="7" fillId="0" borderId="19" applyAlignment="1" pivotButton="0" quotePrefix="0" xfId="0">
      <alignment horizontal="left" vertical="center" wrapText="1"/>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1" applyAlignment="1" pivotButton="0" quotePrefix="0" xfId="0">
      <alignment horizontal="left" vertical="center" wrapText="1"/>
    </xf>
    <xf numFmtId="0" fontId="7" fillId="0" borderId="22" applyAlignment="1" pivotButton="0" quotePrefix="0" xfId="0">
      <alignment horizontal="left" vertical="center" wrapText="1"/>
    </xf>
    <xf numFmtId="0" fontId="7" fillId="4" borderId="17" applyAlignment="1" pivotButton="0" quotePrefix="0" xfId="0">
      <alignment horizontal="center" vertical="center"/>
    </xf>
    <xf numFmtId="0" fontId="7" fillId="4" borderId="18" applyAlignment="1" pivotButton="0" quotePrefix="0" xfId="0">
      <alignment horizontal="center" vertical="center"/>
    </xf>
    <xf numFmtId="164" fontId="7" fillId="4" borderId="18" applyAlignment="1" pivotButton="0" quotePrefix="0" xfId="0">
      <alignment horizontal="center" vertical="center"/>
    </xf>
    <xf numFmtId="1" fontId="7" fillId="4" borderId="18" applyAlignment="1" pivotButton="0" quotePrefix="0" xfId="0">
      <alignment horizontal="center" vertical="center"/>
    </xf>
    <xf numFmtId="2" fontId="7" fillId="4" borderId="18" applyAlignment="1" pivotButton="0" quotePrefix="0" xfId="0">
      <alignment horizontal="center" vertical="center"/>
    </xf>
    <xf numFmtId="0" fontId="7" fillId="4" borderId="18" applyAlignment="1" pivotButton="0" quotePrefix="0" xfId="0">
      <alignment horizontal="left" vertical="center" wrapText="1"/>
    </xf>
    <xf numFmtId="0" fontId="7" fillId="4" borderId="19" applyAlignment="1" pivotButton="0" quotePrefix="0" xfId="0">
      <alignment horizontal="left" vertical="center" wrapText="1"/>
    </xf>
    <xf numFmtId="0" fontId="7" fillId="4" borderId="23" applyAlignment="1" pivotButton="0" quotePrefix="0" xfId="0">
      <alignment horizontal="center" vertical="center"/>
    </xf>
    <xf numFmtId="0" fontId="7" fillId="4" borderId="24" applyAlignment="1" pivotButton="0" quotePrefix="0" xfId="0">
      <alignment horizontal="center" vertical="center"/>
    </xf>
    <xf numFmtId="164" fontId="7" fillId="4" borderId="24" applyAlignment="1" pivotButton="0" quotePrefix="0" xfId="0">
      <alignment horizontal="center" vertical="center"/>
    </xf>
    <xf numFmtId="1" fontId="7" fillId="4" borderId="24" applyAlignment="1" pivotButton="0" quotePrefix="0" xfId="0">
      <alignment horizontal="center" vertical="center"/>
    </xf>
    <xf numFmtId="2" fontId="7" fillId="4" borderId="24" applyAlignment="1" pivotButton="0" quotePrefix="0" xfId="0">
      <alignment horizontal="center" vertical="center"/>
    </xf>
    <xf numFmtId="0" fontId="7" fillId="4" borderId="24" applyAlignment="1" pivotButton="0" quotePrefix="0" xfId="0">
      <alignment horizontal="left" vertical="center" wrapText="1"/>
    </xf>
    <xf numFmtId="0" fontId="7" fillId="4" borderId="25" applyAlignment="1" pivotButton="0" quotePrefix="0" xfId="0">
      <alignment horizontal="left" vertical="center" wrapText="1"/>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164" fontId="7" fillId="4" borderId="21" applyAlignment="1" pivotButton="0" quotePrefix="0" xfId="0">
      <alignment horizontal="center" vertical="center"/>
    </xf>
    <xf numFmtId="1" fontId="7" fillId="4" borderId="21" applyAlignment="1" pivotButton="0" quotePrefix="0" xfId="0">
      <alignment horizontal="center" vertical="center"/>
    </xf>
    <xf numFmtId="2" fontId="7" fillId="4" borderId="21" applyAlignment="1" pivotButton="0" quotePrefix="0" xfId="0">
      <alignment horizontal="center" vertical="center"/>
    </xf>
    <xf numFmtId="0" fontId="7" fillId="4" borderId="21" applyAlignment="1" pivotButton="0" quotePrefix="0" xfId="0">
      <alignment horizontal="left" vertical="center" wrapText="1"/>
    </xf>
    <xf numFmtId="0" fontId="7" fillId="4" borderId="22" applyAlignment="1" pivotButton="0" quotePrefix="0" xfId="0">
      <alignment horizontal="left" vertical="center" wrapText="1"/>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4" applyAlignment="1" pivotButton="0" quotePrefix="0" xfId="0">
      <alignment horizontal="left" vertical="center" wrapText="1"/>
    </xf>
    <xf numFmtId="0" fontId="7" fillId="0" borderId="25" applyAlignment="1" pivotButton="0" quotePrefix="0" xfId="0">
      <alignment horizontal="left" vertical="center" wrapText="1"/>
    </xf>
    <xf numFmtId="0" fontId="8" fillId="5" borderId="14" applyAlignment="1" pivotButton="0" quotePrefix="0" xfId="0">
      <alignment horizontal="left" vertical="center"/>
    </xf>
    <xf numFmtId="0" fontId="8" fillId="5" borderId="15" applyAlignment="1" pivotButton="0" quotePrefix="0" xfId="0">
      <alignment horizontal="center" vertical="center" wrapText="1"/>
    </xf>
    <xf numFmtId="164" fontId="8" fillId="5" borderId="15" applyAlignment="1" pivotButton="0" quotePrefix="0" xfId="0">
      <alignment horizontal="center" vertical="center" wrapText="1"/>
    </xf>
    <xf numFmtId="1" fontId="8" fillId="5" borderId="15" applyAlignment="1" pivotButton="0" quotePrefix="0" xfId="0">
      <alignment horizontal="center" vertical="center" wrapText="1"/>
    </xf>
    <xf numFmtId="2" fontId="8" fillId="5" borderId="15" applyAlignment="1" pivotButton="0" quotePrefix="0" xfId="0">
      <alignment horizontal="center" vertical="center" wrapText="1"/>
    </xf>
    <xf numFmtId="0" fontId="8" fillId="5" borderId="16" applyAlignment="1" pivotButton="0" quotePrefix="0" xfId="0">
      <alignment horizontal="center"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4" borderId="17" applyAlignment="1" pivotButton="0" quotePrefix="0" xfId="0">
      <alignment horizontal="center" vertical="center"/>
    </xf>
    <xf numFmtId="0" fontId="7" fillId="4" borderId="18" applyAlignment="1" pivotButton="0" quotePrefix="0" xfId="0">
      <alignment horizontal="center" vertical="center"/>
    </xf>
    <xf numFmtId="164" fontId="7" fillId="4" borderId="18" applyAlignment="1" pivotButton="0" quotePrefix="0" xfId="0">
      <alignment horizontal="center" vertical="center"/>
    </xf>
    <xf numFmtId="1" fontId="7" fillId="4" borderId="18" applyAlignment="1" pivotButton="0" quotePrefix="0" xfId="0">
      <alignment horizontal="center" vertical="center"/>
    </xf>
    <xf numFmtId="2" fontId="7" fillId="4" borderId="18" applyAlignment="1" pivotButton="0" quotePrefix="0" xfId="0">
      <alignment horizontal="center" vertical="center"/>
    </xf>
    <xf numFmtId="0" fontId="7" fillId="4" borderId="23" applyAlignment="1" pivotButton="0" quotePrefix="0" xfId="0">
      <alignment horizontal="center" vertical="center"/>
    </xf>
    <xf numFmtId="0" fontId="7" fillId="4" borderId="24" applyAlignment="1" pivotButton="0" quotePrefix="0" xfId="0">
      <alignment horizontal="center" vertical="center"/>
    </xf>
    <xf numFmtId="164" fontId="7" fillId="4" borderId="24" applyAlignment="1" pivotButton="0" quotePrefix="0" xfId="0">
      <alignment horizontal="center" vertical="center"/>
    </xf>
    <xf numFmtId="1" fontId="7" fillId="4" borderId="24" applyAlignment="1" pivotButton="0" quotePrefix="0" xfId="0">
      <alignment horizontal="center" vertical="center"/>
    </xf>
    <xf numFmtId="2" fontId="7" fillId="4" borderId="24"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164" fontId="7" fillId="4" borderId="21" applyAlignment="1" pivotButton="0" quotePrefix="0" xfId="0">
      <alignment horizontal="center" vertical="center"/>
    </xf>
    <xf numFmtId="1" fontId="7" fillId="4" borderId="21" applyAlignment="1" pivotButton="0" quotePrefix="0" xfId="0">
      <alignment horizontal="center" vertical="center"/>
    </xf>
    <xf numFmtId="2" fontId="7" fillId="4"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0" fillId="0" borderId="28" pivotButton="0" quotePrefix="0" xfId="0"/>
    <xf numFmtId="0" fontId="0" fillId="0" borderId="29" pivotButton="0" quotePrefix="0" xfId="0"/>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4" borderId="17" applyAlignment="1" pivotButton="0" quotePrefix="0" xfId="0">
      <alignment horizontal="center" vertical="center"/>
    </xf>
    <xf numFmtId="0" fontId="7" fillId="4" borderId="18" applyAlignment="1" pivotButton="0" quotePrefix="0" xfId="0">
      <alignment horizontal="center" vertical="center"/>
    </xf>
    <xf numFmtId="164" fontId="7" fillId="4" borderId="18" applyAlignment="1" pivotButton="0" quotePrefix="0" xfId="0">
      <alignment horizontal="center" vertical="center"/>
    </xf>
    <xf numFmtId="1" fontId="7" fillId="4" borderId="18" applyAlignment="1" pivotButton="0" quotePrefix="0" xfId="0">
      <alignment horizontal="center" vertical="center"/>
    </xf>
    <xf numFmtId="2" fontId="7" fillId="4" borderId="18" applyAlignment="1" pivotButton="0" quotePrefix="0" xfId="0">
      <alignment horizontal="center" vertical="center"/>
    </xf>
    <xf numFmtId="0" fontId="7" fillId="4" borderId="23" applyAlignment="1" pivotButton="0" quotePrefix="0" xfId="0">
      <alignment horizontal="center" vertical="center"/>
    </xf>
    <xf numFmtId="0" fontId="7" fillId="4" borderId="24" applyAlignment="1" pivotButton="0" quotePrefix="0" xfId="0">
      <alignment horizontal="center" vertical="center"/>
    </xf>
    <xf numFmtId="164" fontId="7" fillId="4" borderId="24" applyAlignment="1" pivotButton="0" quotePrefix="0" xfId="0">
      <alignment horizontal="center" vertical="center"/>
    </xf>
    <xf numFmtId="1" fontId="7" fillId="4" borderId="24" applyAlignment="1" pivotButton="0" quotePrefix="0" xfId="0">
      <alignment horizontal="center" vertical="center"/>
    </xf>
    <xf numFmtId="2" fontId="7" fillId="4" borderId="24"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164" fontId="7" fillId="4" borderId="21" applyAlignment="1" pivotButton="0" quotePrefix="0" xfId="0">
      <alignment horizontal="center" vertical="center"/>
    </xf>
    <xf numFmtId="1" fontId="7" fillId="4" borderId="21" applyAlignment="1" pivotButton="0" quotePrefix="0" xfId="0">
      <alignment horizontal="center" vertical="center"/>
    </xf>
    <xf numFmtId="2" fontId="7" fillId="4"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4" borderId="17" applyAlignment="1" pivotButton="0" quotePrefix="0" xfId="0">
      <alignment horizontal="center" vertical="center"/>
    </xf>
    <xf numFmtId="0" fontId="7" fillId="4" borderId="18" applyAlignment="1" pivotButton="0" quotePrefix="0" xfId="0">
      <alignment horizontal="center" vertical="center"/>
    </xf>
    <xf numFmtId="164" fontId="7" fillId="4" borderId="18" applyAlignment="1" pivotButton="0" quotePrefix="0" xfId="0">
      <alignment horizontal="center" vertical="center"/>
    </xf>
    <xf numFmtId="1" fontId="7" fillId="4" borderId="18" applyAlignment="1" pivotButton="0" quotePrefix="0" xfId="0">
      <alignment horizontal="center" vertical="center"/>
    </xf>
    <xf numFmtId="2" fontId="7" fillId="4" borderId="18" applyAlignment="1" pivotButton="0" quotePrefix="0" xfId="0">
      <alignment horizontal="center" vertical="center"/>
    </xf>
    <xf numFmtId="0" fontId="7" fillId="4" borderId="23" applyAlignment="1" pivotButton="0" quotePrefix="0" xfId="0">
      <alignment horizontal="center" vertical="center"/>
    </xf>
    <xf numFmtId="0" fontId="7" fillId="4" borderId="24" applyAlignment="1" pivotButton="0" quotePrefix="0" xfId="0">
      <alignment horizontal="center" vertical="center"/>
    </xf>
    <xf numFmtId="164" fontId="7" fillId="4" borderId="24" applyAlignment="1" pivotButton="0" quotePrefix="0" xfId="0">
      <alignment horizontal="center" vertical="center"/>
    </xf>
    <xf numFmtId="1" fontId="7" fillId="4" borderId="24" applyAlignment="1" pivotButton="0" quotePrefix="0" xfId="0">
      <alignment horizontal="center" vertical="center"/>
    </xf>
    <xf numFmtId="2" fontId="7" fillId="4" borderId="24"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164" fontId="7" fillId="4" borderId="21" applyAlignment="1" pivotButton="0" quotePrefix="0" xfId="0">
      <alignment horizontal="center" vertical="center"/>
    </xf>
    <xf numFmtId="1" fontId="7" fillId="4" borderId="21" applyAlignment="1" pivotButton="0" quotePrefix="0" xfId="0">
      <alignment horizontal="center" vertical="center"/>
    </xf>
    <xf numFmtId="2" fontId="7" fillId="4"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4" borderId="17" applyAlignment="1" pivotButton="0" quotePrefix="0" xfId="0">
      <alignment horizontal="center" vertical="center"/>
    </xf>
    <xf numFmtId="0" fontId="7" fillId="4" borderId="18" applyAlignment="1" pivotButton="0" quotePrefix="0" xfId="0">
      <alignment horizontal="center" vertical="center"/>
    </xf>
    <xf numFmtId="164" fontId="7" fillId="4" borderId="18" applyAlignment="1" pivotButton="0" quotePrefix="0" xfId="0">
      <alignment horizontal="center" vertical="center"/>
    </xf>
    <xf numFmtId="1" fontId="7" fillId="4" borderId="18" applyAlignment="1" pivotButton="0" quotePrefix="0" xfId="0">
      <alignment horizontal="center" vertical="center"/>
    </xf>
    <xf numFmtId="2" fontId="7" fillId="4" borderId="18" applyAlignment="1" pivotButton="0" quotePrefix="0" xfId="0">
      <alignment horizontal="center" vertical="center"/>
    </xf>
    <xf numFmtId="0" fontId="7" fillId="4" borderId="23" applyAlignment="1" pivotButton="0" quotePrefix="0" xfId="0">
      <alignment horizontal="center" vertical="center"/>
    </xf>
    <xf numFmtId="0" fontId="7" fillId="4" borderId="24" applyAlignment="1" pivotButton="0" quotePrefix="0" xfId="0">
      <alignment horizontal="center" vertical="center"/>
    </xf>
    <xf numFmtId="164" fontId="7" fillId="4" borderId="24" applyAlignment="1" pivotButton="0" quotePrefix="0" xfId="0">
      <alignment horizontal="center" vertical="center"/>
    </xf>
    <xf numFmtId="1" fontId="7" fillId="4" borderId="24" applyAlignment="1" pivotButton="0" quotePrefix="0" xfId="0">
      <alignment horizontal="center" vertical="center"/>
    </xf>
    <xf numFmtId="2" fontId="7" fillId="4" borderId="24"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164" fontId="7" fillId="4" borderId="21" applyAlignment="1" pivotButton="0" quotePrefix="0" xfId="0">
      <alignment horizontal="center" vertical="center"/>
    </xf>
    <xf numFmtId="1" fontId="7" fillId="4" borderId="21" applyAlignment="1" pivotButton="0" quotePrefix="0" xfId="0">
      <alignment horizontal="center" vertical="center"/>
    </xf>
    <xf numFmtId="2" fontId="7" fillId="4"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6" fillId="6" borderId="14" applyAlignment="1" pivotButton="0" quotePrefix="0" xfId="0">
      <alignment horizontal="center" vertical="center" wrapText="1"/>
    </xf>
    <xf numFmtId="0" fontId="6" fillId="6" borderId="15" applyAlignment="1" pivotButton="0" quotePrefix="0" xfId="0">
      <alignment horizontal="center" vertical="center" wrapText="1"/>
    </xf>
    <xf numFmtId="0" fontId="6" fillId="6" borderId="16" applyAlignment="1" pivotButton="0" quotePrefix="0" xfId="0">
      <alignment horizontal="center" vertical="center" wrapText="1"/>
    </xf>
    <xf numFmtId="0" fontId="8" fillId="7" borderId="14" applyAlignment="1" pivotButton="0" quotePrefix="0" xfId="0">
      <alignment horizontal="left" vertical="center"/>
    </xf>
    <xf numFmtId="0" fontId="8" fillId="7" borderId="15" applyAlignment="1" pivotButton="0" quotePrefix="0" xfId="0">
      <alignment horizontal="center" vertical="center" wrapText="1"/>
    </xf>
    <xf numFmtId="164" fontId="8" fillId="7" borderId="15" applyAlignment="1" pivotButton="0" quotePrefix="0" xfId="0">
      <alignment horizontal="center" vertical="center" wrapText="1"/>
    </xf>
    <xf numFmtId="1" fontId="8" fillId="7" borderId="15" applyAlignment="1" pivotButton="0" quotePrefix="0" xfId="0">
      <alignment horizontal="center" vertical="center" wrapText="1"/>
    </xf>
    <xf numFmtId="2" fontId="8" fillId="7" borderId="15" applyAlignment="1" pivotButton="0" quotePrefix="0" xfId="0">
      <alignment horizontal="center" vertical="center" wrapText="1"/>
    </xf>
    <xf numFmtId="0" fontId="8" fillId="7" borderId="16" applyAlignment="1" pivotButton="0" quotePrefix="0" xfId="0">
      <alignment horizontal="center"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8" applyAlignment="1" pivotButton="0" quotePrefix="0" xfId="0">
      <alignment horizontal="left" vertical="center" wrapText="1"/>
    </xf>
    <xf numFmtId="0" fontId="7" fillId="3" borderId="19" applyAlignment="1" pivotButton="0" quotePrefix="0" xfId="0">
      <alignment horizontal="left" vertical="center" wrapText="1"/>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4" applyAlignment="1" pivotButton="0" quotePrefix="0" xfId="0">
      <alignment horizontal="left" vertical="center" wrapText="1"/>
    </xf>
    <xf numFmtId="0" fontId="7" fillId="3" borderId="25" applyAlignment="1" pivotButton="0" quotePrefix="0" xfId="0">
      <alignment horizontal="left" vertical="center" wrapText="1"/>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1" applyAlignment="1" pivotButton="0" quotePrefix="0" xfId="0">
      <alignment horizontal="left" vertical="center" wrapText="1"/>
    </xf>
    <xf numFmtId="0" fontId="7" fillId="3" borderId="22" applyAlignment="1" pivotButton="0" quotePrefix="0" xfId="0">
      <alignment horizontal="left" vertical="center" wrapText="1"/>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8" fillId="8" borderId="14" applyAlignment="1" pivotButton="0" quotePrefix="0" xfId="0">
      <alignment horizontal="left" vertical="center"/>
    </xf>
    <xf numFmtId="0" fontId="8" fillId="8" borderId="15" applyAlignment="1" pivotButton="0" quotePrefix="0" xfId="0">
      <alignment horizontal="center" vertical="center" wrapText="1"/>
    </xf>
    <xf numFmtId="164" fontId="8" fillId="8" borderId="15" applyAlignment="1" pivotButton="0" quotePrefix="0" xfId="0">
      <alignment horizontal="center" vertical="center" wrapText="1"/>
    </xf>
    <xf numFmtId="1" fontId="8" fillId="8" borderId="15" applyAlignment="1" pivotButton="0" quotePrefix="0" xfId="0">
      <alignment horizontal="center" vertical="center" wrapText="1"/>
    </xf>
    <xf numFmtId="2" fontId="8" fillId="8" borderId="15" applyAlignment="1" pivotButton="0" quotePrefix="0" xfId="0">
      <alignment horizontal="center" vertical="center" wrapText="1"/>
    </xf>
    <xf numFmtId="0" fontId="8" fillId="8" borderId="16" applyAlignment="1" pivotButton="0" quotePrefix="0" xfId="0">
      <alignment horizontal="center"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164" fontId="0" fillId="0" borderId="0" pivotButton="0" quotePrefix="0" xfId="0"/>
    <xf numFmtId="165" fontId="0" fillId="0" borderId="0" pivotButton="0" quotePrefix="0" xfId="0"/>
    <xf numFmtId="165" fontId="8" fillId="8" borderId="15" applyAlignment="1" pivotButton="0" quotePrefix="0" xfId="0">
      <alignment horizontal="center"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5" applyAlignment="1" pivotButton="0" quotePrefix="0" xfId="0">
      <alignment horizontal="left" vertical="center" wrapText="1"/>
    </xf>
    <xf numFmtId="0" fontId="7" fillId="0" borderId="16" applyAlignment="1" pivotButton="0" quotePrefix="0" xfId="0">
      <alignment horizontal="left"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5" applyAlignment="1" pivotButton="0" quotePrefix="0" xfId="0">
      <alignment horizontal="left" vertical="center" wrapText="1"/>
    </xf>
    <xf numFmtId="0" fontId="7" fillId="3" borderId="16" applyAlignment="1" pivotButton="0" quotePrefix="0" xfId="0">
      <alignment horizontal="left"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164" fontId="7" fillId="0" borderId="18" applyAlignment="1" pivotButton="0" quotePrefix="0" xfId="0">
      <alignment horizontal="center" vertical="center"/>
    </xf>
    <xf numFmtId="165" fontId="7" fillId="0" borderId="18" applyAlignment="1" pivotButton="0" quotePrefix="0" xfId="0">
      <alignment horizontal="center" vertical="center"/>
    </xf>
    <xf numFmtId="1" fontId="7" fillId="0" borderId="18" applyAlignment="1" pivotButton="0" quotePrefix="0" xfId="0">
      <alignment horizontal="center" vertical="center"/>
    </xf>
    <xf numFmtId="2" fontId="7" fillId="0" borderId="18"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7" fillId="0" borderId="21" applyAlignment="1" pivotButton="0" quotePrefix="0" xfId="0">
      <alignment horizontal="center" vertical="center"/>
    </xf>
    <xf numFmtId="164" fontId="7" fillId="0" borderId="21" applyAlignment="1" pivotButton="0" quotePrefix="0" xfId="0">
      <alignment horizontal="center" vertical="center"/>
    </xf>
    <xf numFmtId="165" fontId="7" fillId="0" borderId="21" applyAlignment="1" pivotButton="0" quotePrefix="0" xfId="0">
      <alignment horizontal="center" vertical="center"/>
    </xf>
    <xf numFmtId="1" fontId="7" fillId="0" borderId="21" applyAlignment="1" pivotButton="0" quotePrefix="0" xfId="0">
      <alignment horizontal="center" vertical="center"/>
    </xf>
    <xf numFmtId="2"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3" borderId="17" applyAlignment="1" pivotButton="0" quotePrefix="0" xfId="0">
      <alignment horizontal="center" vertical="center"/>
    </xf>
    <xf numFmtId="0" fontId="7" fillId="3" borderId="18" applyAlignment="1" pivotButton="0" quotePrefix="0" xfId="0">
      <alignment horizontal="center" vertical="center"/>
    </xf>
    <xf numFmtId="164" fontId="7" fillId="3" borderId="18" applyAlignment="1" pivotButton="0" quotePrefix="0" xfId="0">
      <alignment horizontal="center" vertical="center"/>
    </xf>
    <xf numFmtId="165" fontId="7" fillId="3" borderId="18" applyAlignment="1" pivotButton="0" quotePrefix="0" xfId="0">
      <alignment horizontal="center" vertical="center"/>
    </xf>
    <xf numFmtId="1" fontId="7" fillId="3" borderId="18" applyAlignment="1" pivotButton="0" quotePrefix="0" xfId="0">
      <alignment horizontal="center" vertical="center"/>
    </xf>
    <xf numFmtId="2" fontId="7" fillId="3" borderId="18" applyAlignment="1" pivotButton="0" quotePrefix="0" xfId="0">
      <alignment horizontal="center" vertical="center"/>
    </xf>
    <xf numFmtId="0" fontId="7" fillId="3" borderId="19" applyAlignment="1" pivotButton="0" quotePrefix="0" xfId="0">
      <alignment horizontal="center" vertical="center"/>
    </xf>
    <xf numFmtId="0" fontId="7" fillId="3" borderId="23" applyAlignment="1" pivotButton="0" quotePrefix="0" xfId="0">
      <alignment horizontal="center" vertical="center"/>
    </xf>
    <xf numFmtId="0" fontId="7" fillId="3" borderId="24" applyAlignment="1" pivotButton="0" quotePrefix="0" xfId="0">
      <alignment horizontal="center" vertical="center"/>
    </xf>
    <xf numFmtId="164" fontId="7" fillId="3" borderId="24" applyAlignment="1" pivotButton="0" quotePrefix="0" xfId="0">
      <alignment horizontal="center" vertical="center"/>
    </xf>
    <xf numFmtId="165" fontId="7" fillId="3" borderId="24" applyAlignment="1" pivotButton="0" quotePrefix="0" xfId="0">
      <alignment horizontal="center" vertical="center"/>
    </xf>
    <xf numFmtId="1" fontId="7" fillId="3" borderId="24" applyAlignment="1" pivotButton="0" quotePrefix="0" xfId="0">
      <alignment horizontal="center" vertical="center"/>
    </xf>
    <xf numFmtId="2" fontId="7" fillId="3" borderId="24" applyAlignment="1" pivotButton="0" quotePrefix="0" xfId="0">
      <alignment horizontal="center" vertical="center"/>
    </xf>
    <xf numFmtId="0" fontId="7" fillId="3" borderId="25" applyAlignment="1" pivotButton="0" quotePrefix="0" xfId="0">
      <alignment horizontal="center" vertical="center"/>
    </xf>
    <xf numFmtId="0" fontId="7" fillId="3" borderId="20" applyAlignment="1" pivotButton="0" quotePrefix="0" xfId="0">
      <alignment horizontal="center" vertical="center"/>
    </xf>
    <xf numFmtId="0" fontId="7" fillId="3" borderId="21" applyAlignment="1" pivotButton="0" quotePrefix="0" xfId="0">
      <alignment horizontal="center" vertical="center"/>
    </xf>
    <xf numFmtId="164" fontId="7" fillId="3" borderId="21" applyAlignment="1" pivotButton="0" quotePrefix="0" xfId="0">
      <alignment horizontal="center" vertical="center"/>
    </xf>
    <xf numFmtId="165" fontId="7" fillId="3" borderId="21" applyAlignment="1" pivotButton="0" quotePrefix="0" xfId="0">
      <alignment horizontal="center" vertical="center"/>
    </xf>
    <xf numFmtId="1" fontId="7" fillId="3" borderId="21" applyAlignment="1" pivotButton="0" quotePrefix="0" xfId="0">
      <alignment horizontal="center" vertical="center"/>
    </xf>
    <xf numFmtId="2" fontId="7" fillId="3" borderId="21" applyAlignment="1" pivotButton="0" quotePrefix="0" xfId="0">
      <alignment horizontal="center" vertical="center"/>
    </xf>
    <xf numFmtId="0" fontId="7" fillId="3"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164" fontId="7" fillId="0" borderId="24" applyAlignment="1" pivotButton="0" quotePrefix="0" xfId="0">
      <alignment horizontal="center" vertical="center"/>
    </xf>
    <xf numFmtId="165" fontId="7" fillId="0" borderId="24" applyAlignment="1" pivotButton="0" quotePrefix="0" xfId="0">
      <alignment horizontal="center" vertical="center"/>
    </xf>
    <xf numFmtId="1" fontId="7" fillId="0" borderId="24" applyAlignment="1" pivotButton="0" quotePrefix="0" xfId="0">
      <alignment horizontal="center" vertical="center"/>
    </xf>
    <xf numFmtId="2" fontId="7" fillId="0" borderId="24" applyAlignment="1" pivotButton="0" quotePrefix="0" xfId="0">
      <alignment horizontal="center" vertical="center"/>
    </xf>
    <xf numFmtId="0" fontId="7" fillId="0" borderId="25" applyAlignment="1" pivotButton="0" quotePrefix="0" xfId="0">
      <alignment horizontal="center" vertical="center"/>
    </xf>
    <xf numFmtId="0" fontId="7" fillId="0" borderId="14" applyAlignment="1" pivotButton="0" quotePrefix="0" xfId="0">
      <alignment horizontal="center" vertical="center"/>
    </xf>
    <xf numFmtId="0" fontId="7" fillId="0" borderId="15" applyAlignment="1" pivotButton="0" quotePrefix="0" xfId="0">
      <alignment horizontal="center" vertical="center"/>
    </xf>
    <xf numFmtId="164" fontId="7" fillId="0" borderId="15" applyAlignment="1" pivotButton="0" quotePrefix="0" xfId="0">
      <alignment horizontal="center" vertical="center"/>
    </xf>
    <xf numFmtId="165" fontId="7" fillId="0" borderId="15" applyAlignment="1" pivotButton="0" quotePrefix="0" xfId="0">
      <alignment horizontal="center" vertical="center"/>
    </xf>
    <xf numFmtId="1" fontId="7" fillId="0" borderId="15" applyAlignment="1" pivotButton="0" quotePrefix="0" xfId="0">
      <alignment horizontal="center" vertical="center"/>
    </xf>
    <xf numFmtId="2"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3" borderId="14" applyAlignment="1" pivotButton="0" quotePrefix="0" xfId="0">
      <alignment horizontal="center" vertical="center"/>
    </xf>
    <xf numFmtId="0" fontId="7" fillId="3" borderId="15" applyAlignment="1" pivotButton="0" quotePrefix="0" xfId="0">
      <alignment horizontal="center" vertical="center"/>
    </xf>
    <xf numFmtId="164" fontId="7" fillId="3" borderId="15" applyAlignment="1" pivotButton="0" quotePrefix="0" xfId="0">
      <alignment horizontal="center" vertical="center"/>
    </xf>
    <xf numFmtId="165" fontId="7" fillId="3" borderId="15" applyAlignment="1" pivotButton="0" quotePrefix="0" xfId="0">
      <alignment horizontal="center" vertical="center"/>
    </xf>
    <xf numFmtId="1" fontId="7" fillId="3" borderId="15" applyAlignment="1" pivotButton="0" quotePrefix="0" xfId="0">
      <alignment horizontal="center" vertical="center"/>
    </xf>
    <xf numFmtId="2" fontId="7" fillId="3" borderId="15" applyAlignment="1" pivotButton="0" quotePrefix="0" xfId="0">
      <alignment horizontal="center" vertical="center"/>
    </xf>
    <xf numFmtId="0" fontId="7" fillId="3" borderId="16"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F6FB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6"/>
  <sheetViews>
    <sheetView tabSelected="1" zoomScaleNormal="100" workbookViewId="0">
      <pane ySplit="2" topLeftCell="A3" activePane="bottomLeft" state="frozen"/>
      <selection pane="bottomLeft" activeCell="A1" sqref="A1"/>
    </sheetView>
  </sheetViews>
  <sheetFormatPr baseColWidth="8" defaultColWidth="8.7109375" defaultRowHeight="15"/>
  <cols>
    <col width="15.14" customWidth="1" min="1" max="1"/>
    <col width="17.71" customWidth="1" min="2" max="2"/>
    <col width="15.71" customWidth="1" min="3" max="3"/>
    <col width="6" customWidth="1" min="4" max="6"/>
    <col width="13" customWidth="1" min="5" max="5"/>
    <col width="13" customWidth="1" min="6" max="6"/>
    <col width="12.14" customWidth="1" min="7" max="7"/>
    <col width="13" customWidth="1" min="8" max="9"/>
    <col width="12" customWidth="1" min="9" max="9"/>
    <col width="6" customWidth="1" min="10" max="10"/>
    <col width="13" customWidth="1" min="11" max="11"/>
    <col width="8" customWidth="1" min="12" max="12"/>
    <col width="12" customWidth="1" min="13" max="13"/>
    <col width="11" customWidth="1" min="14" max="14"/>
    <col width="9" customWidth="1" min="15" max="15"/>
    <col width="8" customWidth="1" min="16" max="16"/>
    <col width="10" customWidth="1" min="17" max="17"/>
    <col width="11" customWidth="1" min="18" max="18"/>
    <col width="13" customWidth="1" min="19" max="19"/>
    <col width="38" customWidth="1" min="20" max="20"/>
    <col width="16" customWidth="1" min="21" max="21"/>
    <col width="83.86" customWidth="1" min="22" max="22"/>
    <col width="14" customWidth="1" min="23" max="23"/>
  </cols>
  <sheetData>
    <row r="1" ht="28" customHeight="1">
      <c r="A1" s="789" t="inlineStr">
        <is>
          <t>Date</t>
        </is>
      </c>
      <c r="B1" s="790" t="inlineStr">
        <is>
          <t>Time</t>
        </is>
      </c>
      <c r="C1" s="790" t="inlineStr">
        <is>
          <t>Type</t>
        </is>
      </c>
      <c r="D1" s="790" t="inlineStr">
        <is>
          <t>pH</t>
        </is>
      </c>
      <c r="E1" s="790" t="inlineStr">
        <is>
          <t>FC</t>
        </is>
      </c>
      <c r="F1" s="790" t="inlineStr">
        <is>
          <t>CC</t>
        </is>
      </c>
      <c r="G1" s="790" t="inlineStr">
        <is>
          <t>FC loss (ppm/24h)</t>
        </is>
      </c>
      <c r="H1" s="790" t="inlineStr">
        <is>
          <t>Pred next-noon FC</t>
        </is>
      </c>
      <c r="I1" s="790" t="inlineStr">
        <is>
          <t>Pred error (ppm)</t>
        </is>
      </c>
      <c r="J1" s="790" t="inlineStr">
        <is>
          <t>TA</t>
        </is>
      </c>
      <c r="K1" s="790" t="inlineStr">
        <is>
          <t>CH</t>
        </is>
      </c>
      <c r="L1" s="790" t="inlineStr">
        <is>
          <t>CYA</t>
        </is>
      </c>
      <c r="M1" s="790" t="inlineStr">
        <is>
          <t>Chlorine added (gal)</t>
        </is>
      </c>
      <c r="N1" s="790" t="inlineStr">
        <is>
          <t>Cum. Cl (gal)</t>
        </is>
      </c>
      <c r="O1" s="790" t="inlineStr">
        <is>
          <t>Sun (hrs)</t>
        </is>
      </c>
      <c r="P1" s="790" t="inlineStr">
        <is>
          <t>Rain (in)</t>
        </is>
      </c>
      <c r="Q1" s="790" t="inlineStr">
        <is>
          <t>Fill (gal)</t>
        </is>
      </c>
      <c r="R1" s="790" t="inlineStr">
        <is>
          <t>Water temp (°F)</t>
        </is>
      </c>
      <c r="S1" s="790" t="inlineStr">
        <is>
          <t>Water level (cm)</t>
        </is>
      </c>
      <c r="T1" s="790" t="inlineStr">
        <is>
          <t>Weather</t>
        </is>
      </c>
      <c r="U1" s="790" t="inlineStr">
        <is>
          <t>Photo</t>
        </is>
      </c>
      <c r="V1" s="790" t="inlineStr">
        <is>
          <t>Notes</t>
        </is>
      </c>
      <c r="W1" s="791" t="inlineStr">
        <is>
          <t>Load</t>
        </is>
      </c>
    </row>
    <row r="2" ht="20" customHeight="1">
      <c r="A2" s="834" t="inlineStr">
        <is>
          <t>SEASON TOTALS</t>
        </is>
      </c>
      <c r="B2" s="835" t="n"/>
      <c r="C2" s="835" t="n"/>
      <c r="D2" s="836" t="n"/>
      <c r="E2" s="836" t="n"/>
      <c r="F2" s="836" t="n"/>
      <c r="G2" s="836" t="n"/>
      <c r="H2" s="836" t="n"/>
      <c r="I2" s="932" t="n"/>
      <c r="J2" s="837" t="n"/>
      <c r="K2" s="837" t="n"/>
      <c r="L2" s="837" t="n"/>
      <c r="M2" s="836">
        <f>SUM(M3:M5000)</f>
        <v/>
      </c>
      <c r="N2" s="836" t="n"/>
      <c r="O2" s="836" t="n"/>
      <c r="P2" s="838">
        <f>SUM(P3:P5000)</f>
        <v/>
      </c>
      <c r="Q2" s="836">
        <f>SUM(Q3:Q5000)</f>
        <v/>
      </c>
      <c r="R2" s="836" t="n"/>
      <c r="S2" s="836" t="n"/>
      <c r="T2" s="835" t="n"/>
      <c r="U2" s="835" t="n"/>
      <c r="V2" s="835" t="n"/>
      <c r="W2" s="839" t="n"/>
    </row>
    <row r="3">
      <c r="A3" s="12243" t="inlineStr">
        <is>
          <t>2026-06-18</t>
        </is>
      </c>
      <c r="B3" s="12244" t="n"/>
      <c r="C3" s="12244" t="inlineStr">
        <is>
          <t>EVENT - Open</t>
        </is>
      </c>
      <c r="D3" s="12245" t="n"/>
      <c r="E3" s="12245" t="n"/>
      <c r="F3" s="12245" t="n"/>
      <c r="G3" s="12245" t="n"/>
      <c r="H3" s="12245" t="n"/>
      <c r="I3" s="12246" t="n"/>
      <c r="J3" s="12247" t="n"/>
      <c r="K3" s="12247" t="n"/>
      <c r="L3" s="12247" t="n"/>
      <c r="M3" s="12245" t="n"/>
      <c r="N3" s="12245" t="n"/>
      <c r="O3" s="12245" t="n"/>
      <c r="P3" s="12248" t="n"/>
      <c r="Q3" s="12245" t="n"/>
      <c r="R3" s="12245" t="n"/>
      <c r="S3" s="12245" t="n"/>
      <c r="T3" s="624" t="n"/>
      <c r="U3" s="12244" t="n"/>
      <c r="V3" s="624" t="inlineStr">
        <is>
          <t>Pool open for season. Switched from trichlor tabs to liquid chlorine (Pool Tech 12.5%) due to high CYA. Pulled tabs from skimmer/feeder.</t>
        </is>
      </c>
      <c r="W3" s="12249" t="n"/>
    </row>
    <row r="4" ht="20" customHeight="1">
      <c r="A4" s="12250" t="inlineStr">
        <is>
          <t>2026-06-18</t>
        </is>
      </c>
      <c r="B4" s="12251" t="inlineStr">
        <is>
          <t>evening</t>
        </is>
      </c>
      <c r="C4" s="12251" t="inlineStr">
        <is>
          <t>DOSE</t>
        </is>
      </c>
      <c r="D4" s="12252" t="n"/>
      <c r="E4" s="12252" t="n"/>
      <c r="F4" s="12252" t="n"/>
      <c r="G4" s="12252" t="n"/>
      <c r="H4" s="12252" t="n"/>
      <c r="I4" s="12253" t="n"/>
      <c r="J4" s="12254" t="n"/>
      <c r="K4" s="12254" t="n"/>
      <c r="L4" s="12254" t="n"/>
      <c r="M4" s="12252" t="n">
        <v>3</v>
      </c>
      <c r="N4" s="12252" t="n">
        <v>3</v>
      </c>
      <c r="O4" s="12252" t="n"/>
      <c r="P4" s="12255" t="n"/>
      <c r="Q4" s="12252" t="n"/>
      <c r="R4" s="12252" t="n"/>
      <c r="S4" s="12252" t="n"/>
      <c r="T4" s="631" t="n"/>
      <c r="U4" s="12251" t="n"/>
      <c r="V4" s="631" t="inlineStr">
        <is>
          <t>Initial 3 gal added; let pump run overnight to mix. FC before ~0.4.</t>
        </is>
      </c>
      <c r="W4" s="12256" t="n"/>
    </row>
    <row r="5" ht="20" customHeight="1">
      <c r="A5" s="12257" t="inlineStr">
        <is>
          <t>2026-06-19</t>
        </is>
      </c>
      <c r="B5" s="12258" t="inlineStr">
        <is>
          <t>12:01</t>
        </is>
      </c>
      <c r="C5" s="12258" t="inlineStr">
        <is>
          <t>TEST</t>
        </is>
      </c>
      <c r="D5" s="12259" t="n">
        <v>7.3</v>
      </c>
      <c r="E5" s="12259" t="n">
        <v>3.4</v>
      </c>
      <c r="F5" s="12259" t="n">
        <v>0.2</v>
      </c>
      <c r="G5" s="12259" t="n"/>
      <c r="H5" s="12259" t="n"/>
      <c r="I5" s="12260" t="n"/>
      <c r="J5" s="12261" t="n">
        <v>140</v>
      </c>
      <c r="K5" s="12261" t="n">
        <v>160</v>
      </c>
      <c r="L5" s="12261" t="inlineStr">
        <is>
          <t>~100</t>
        </is>
      </c>
      <c r="M5" s="12259" t="n"/>
      <c r="N5" s="12259" t="n"/>
      <c r="O5" s="12259" t="n">
        <v>13.7</v>
      </c>
      <c r="P5" s="12262" t="n">
        <v>0</v>
      </c>
      <c r="Q5" s="12259" t="n"/>
      <c r="R5" s="12259" t="n"/>
      <c r="S5" s="12259" t="n"/>
      <c r="T5" s="813" t="n"/>
      <c r="U5" s="12258" t="n"/>
      <c r="V5" s="813" t="inlineStr">
        <is>
          <t>25 mL fill, x0.2. First clean panel. (CYA later found &gt;100 - see 6/20.)</t>
        </is>
      </c>
      <c r="W5" s="12263" t="n"/>
    </row>
    <row r="6" ht="20" customHeight="1">
      <c r="A6" s="12264" t="inlineStr">
        <is>
          <t>2026-06-19</t>
        </is>
      </c>
      <c r="B6" s="12265" t="inlineStr">
        <is>
          <t>14:00</t>
        </is>
      </c>
      <c r="C6" s="12265" t="inlineStr">
        <is>
          <t>DOSE</t>
        </is>
      </c>
      <c r="D6" s="12266" t="n"/>
      <c r="E6" s="12266" t="n"/>
      <c r="F6" s="12266" t="n"/>
      <c r="G6" s="12266" t="n"/>
      <c r="H6" s="12266" t="n"/>
      <c r="I6" s="12267" t="n"/>
      <c r="J6" s="12268" t="n"/>
      <c r="K6" s="12268" t="n"/>
      <c r="L6" s="12268" t="n"/>
      <c r="M6" s="12266" t="n">
        <v>1.5</v>
      </c>
      <c r="N6" s="12266" t="n">
        <v>4.5</v>
      </c>
      <c r="O6" s="12266" t="n"/>
      <c r="P6" s="12269" t="n"/>
      <c r="Q6" s="12266" t="n"/>
      <c r="R6" s="12266" t="n"/>
      <c r="S6" s="12266" t="n"/>
      <c r="T6" s="820" t="n"/>
      <c r="U6" s="12265" t="n"/>
      <c r="V6" s="820" t="inlineStr">
        <is>
          <t>Added to correct low FC (3.4 below floor). Est. +5.1 -&gt; ~8.5. Pump running.</t>
        </is>
      </c>
      <c r="W6" s="12270" t="n"/>
    </row>
    <row r="7" ht="20" customHeight="1">
      <c r="A7" s="12271" t="inlineStr">
        <is>
          <t>2026-06-19</t>
        </is>
      </c>
      <c r="B7" s="12272" t="inlineStr">
        <is>
          <t>22:00</t>
        </is>
      </c>
      <c r="C7" s="12272" t="inlineStr">
        <is>
          <t>PUMP</t>
        </is>
      </c>
      <c r="D7" s="12273" t="n"/>
      <c r="E7" s="12273" t="n"/>
      <c r="F7" s="12273" t="n"/>
      <c r="G7" s="12273" t="n"/>
      <c r="H7" s="12273" t="n"/>
      <c r="I7" s="12274" t="n"/>
      <c r="J7" s="12275" t="n"/>
      <c r="K7" s="12275" t="n"/>
      <c r="L7" s="12275" t="n"/>
      <c r="M7" s="12273" t="n"/>
      <c r="N7" s="12273" t="n"/>
      <c r="O7" s="12273" t="n"/>
      <c r="P7" s="12276" t="n"/>
      <c r="Q7" s="12273" t="n"/>
      <c r="R7" s="12273" t="n"/>
      <c r="S7" s="12273" t="n"/>
      <c r="T7" s="827" t="n"/>
      <c r="U7" s="12272" t="n"/>
      <c r="V7" s="827" t="inlineStr">
        <is>
          <t>Pump OFF for night (~10 PM, approximate - planned schedule).</t>
        </is>
      </c>
      <c r="W7" s="12277" t="n"/>
    </row>
    <row r="8" ht="20" customHeight="1">
      <c r="A8" s="12243" t="inlineStr">
        <is>
          <t>2026-06-20</t>
        </is>
      </c>
      <c r="B8" s="12244" t="inlineStr">
        <is>
          <t>07:00</t>
        </is>
      </c>
      <c r="C8" s="12244" t="inlineStr">
        <is>
          <t>PUMP</t>
        </is>
      </c>
      <c r="D8" s="12245" t="n"/>
      <c r="E8" s="12245" t="n"/>
      <c r="F8" s="12245" t="n"/>
      <c r="G8" s="12245" t="n"/>
      <c r="H8" s="12245" t="n"/>
      <c r="I8" s="12246" t="n"/>
      <c r="J8" s="12247" t="n"/>
      <c r="K8" s="12247" t="n"/>
      <c r="L8" s="12247" t="n"/>
      <c r="M8" s="12245" t="n"/>
      <c r="N8" s="12245" t="n"/>
      <c r="O8" s="12245" t="n"/>
      <c r="P8" s="12248" t="n"/>
      <c r="Q8" s="12245" t="n"/>
      <c r="R8" s="12245" t="n"/>
      <c r="S8" s="12245" t="n"/>
      <c r="T8" s="624" t="n"/>
      <c r="U8" s="12244" t="n"/>
      <c r="V8" s="624" t="inlineStr">
        <is>
          <t>Pump ON for the day (~7 AM, approximate - planned schedule).</t>
        </is>
      </c>
      <c r="W8" s="12249" t="n"/>
    </row>
    <row r="9">
      <c r="A9" s="12278" t="inlineStr">
        <is>
          <t>2026-06-20</t>
        </is>
      </c>
      <c r="B9" s="12279" t="inlineStr">
        <is>
          <t>12:00</t>
        </is>
      </c>
      <c r="C9" s="12279" t="inlineStr">
        <is>
          <t>TEST</t>
        </is>
      </c>
      <c r="D9" s="12280" t="n">
        <v>7.3</v>
      </c>
      <c r="E9" s="12280" t="n">
        <v>4.6</v>
      </c>
      <c r="F9" s="12280" t="n">
        <v>0.2</v>
      </c>
      <c r="G9" s="12280" t="n">
        <v>4.1</v>
      </c>
      <c r="H9" s="12280" t="n"/>
      <c r="I9" s="12281" t="n"/>
      <c r="J9" s="12282" t="n">
        <v>130</v>
      </c>
      <c r="K9" s="12282" t="n">
        <v>150</v>
      </c>
      <c r="L9" s="12282" t="inlineStr">
        <is>
          <t>&gt;100</t>
        </is>
      </c>
      <c r="M9" s="12280" t="n"/>
      <c r="N9" s="12280" t="n"/>
      <c r="O9" s="12280" t="n">
        <v>14</v>
      </c>
      <c r="P9" s="12283" t="n">
        <v>0</v>
      </c>
      <c r="Q9" s="12280" t="n"/>
      <c r="R9" s="12280" t="n"/>
      <c r="S9" s="12280" t="n"/>
      <c r="T9" s="659" t="inlineStr">
        <is>
          <t>Super sunny, dry, low humidity, 80s</t>
        </is>
      </c>
      <c r="U9" s="12279" t="n"/>
      <c r="V9" s="659" t="inlineStr">
        <is>
          <t>25 mL x0.2. FC dropped ~8.5-&gt;4.6 (~3.9/22hr) = ~4 ppm/day sunny-day loss. CYA off scale (&gt;100).</t>
        </is>
      </c>
      <c r="W9" s="12284" t="n"/>
    </row>
    <row r="10">
      <c r="A10" s="12278" t="inlineStr">
        <is>
          <t>2026-06-20</t>
        </is>
      </c>
      <c r="B10" s="12279" t="inlineStr">
        <is>
          <t>afternoon</t>
        </is>
      </c>
      <c r="C10" s="12279" t="inlineStr">
        <is>
          <t>TEST</t>
        </is>
      </c>
      <c r="D10" s="12280" t="n"/>
      <c r="E10" s="12280" t="n"/>
      <c r="F10" s="12280" t="n"/>
      <c r="G10" s="12280" t="n"/>
      <c r="H10" s="12280" t="n"/>
      <c r="I10" s="12281" t="n"/>
      <c r="J10" s="12282" t="n"/>
      <c r="K10" s="12282" t="n"/>
      <c r="L10" s="12282" t="inlineStr">
        <is>
          <t>~160</t>
        </is>
      </c>
      <c r="M10" s="12280" t="n"/>
      <c r="N10" s="12280" t="n"/>
      <c r="O10" s="12280" t="n"/>
      <c r="P10" s="12283" t="n"/>
      <c r="Q10" s="12280" t="n"/>
      <c r="R10" s="12280" t="n"/>
      <c r="S10" s="12280" t="n"/>
      <c r="T10" s="659" t="n"/>
      <c r="U10" s="12279" t="n"/>
      <c r="V10" s="659" t="inlineStr">
        <is>
          <t>Diluted CYA test: 50/50 pool+distilled read ~80, x2 = ~160. Old reagents, approximate (+/-15).</t>
        </is>
      </c>
      <c r="W10" s="12284" t="n"/>
    </row>
    <row r="11" ht="20" customHeight="1">
      <c r="A11" s="12278" t="inlineStr">
        <is>
          <t>2026-06-20</t>
        </is>
      </c>
      <c r="B11" s="12279" t="inlineStr">
        <is>
          <t>afternoon</t>
        </is>
      </c>
      <c r="C11" s="12279" t="inlineStr">
        <is>
          <t>DOSE</t>
        </is>
      </c>
      <c r="D11" s="12280" t="n"/>
      <c r="E11" s="12280" t="n"/>
      <c r="F11" s="12280" t="n"/>
      <c r="G11" s="12280" t="n"/>
      <c r="H11" s="12280" t="n"/>
      <c r="I11" s="12281" t="n"/>
      <c r="J11" s="12282" t="n"/>
      <c r="K11" s="12282" t="n"/>
      <c r="L11" s="12282" t="n"/>
      <c r="M11" s="12280" t="n">
        <v>2</v>
      </c>
      <c r="N11" s="12280" t="n">
        <v>6.5</v>
      </c>
      <c r="O11" s="12280" t="n"/>
      <c r="P11" s="12283" t="n"/>
      <c r="Q11" s="12280" t="n"/>
      <c r="R11" s="12280" t="n"/>
      <c r="S11" s="12280" t="n"/>
      <c r="T11" s="659" t="n"/>
      <c r="U11" s="12279" t="n"/>
      <c r="V11" s="659" t="inlineStr">
        <is>
          <t>Top-up toward target band for CYA ~160 (floor ~11).</t>
        </is>
      </c>
      <c r="W11" s="12284" t="n"/>
    </row>
    <row r="12" ht="20" customHeight="1">
      <c r="A12" s="12250" t="inlineStr">
        <is>
          <t>2026-06-20</t>
        </is>
      </c>
      <c r="B12" s="12251" t="inlineStr">
        <is>
          <t>22:00</t>
        </is>
      </c>
      <c r="C12" s="12251" t="inlineStr">
        <is>
          <t>PUMP</t>
        </is>
      </c>
      <c r="D12" s="12252" t="n"/>
      <c r="E12" s="12252" t="n"/>
      <c r="F12" s="12252" t="n"/>
      <c r="G12" s="12252" t="n"/>
      <c r="H12" s="12252" t="n"/>
      <c r="I12" s="12253" t="n"/>
      <c r="J12" s="12254" t="n"/>
      <c r="K12" s="12254" t="n"/>
      <c r="L12" s="12254" t="n"/>
      <c r="M12" s="12252" t="n"/>
      <c r="N12" s="12252" t="n"/>
      <c r="O12" s="12252" t="n"/>
      <c r="P12" s="12255" t="n"/>
      <c r="Q12" s="12252" t="n"/>
      <c r="R12" s="12252" t="n"/>
      <c r="S12" s="12252" t="n"/>
      <c r="T12" s="631" t="n"/>
      <c r="U12" s="12251" t="n"/>
      <c r="V12" s="631" t="inlineStr">
        <is>
          <t>Pump OFF for night (~10 PM, approximate - planned schedule).</t>
        </is>
      </c>
      <c r="W12" s="12256" t="n"/>
    </row>
    <row r="13">
      <c r="A13" s="12257" t="inlineStr">
        <is>
          <t>2026-06-21</t>
        </is>
      </c>
      <c r="B13" s="12258" t="n"/>
      <c r="C13" s="12258" t="inlineStr">
        <is>
          <t>NOTE</t>
        </is>
      </c>
      <c r="D13" s="12259" t="n"/>
      <c r="E13" s="12259" t="n"/>
      <c r="F13" s="12259" t="n"/>
      <c r="G13" s="12259" t="n"/>
      <c r="H13" s="12259" t="n"/>
      <c r="I13" s="12260" t="n"/>
      <c r="J13" s="12261" t="n"/>
      <c r="K13" s="12261" t="n"/>
      <c r="L13" s="12261" t="n"/>
      <c r="M13" s="12259" t="n"/>
      <c r="N13" s="12259" t="n"/>
      <c r="O13" s="12259" t="n"/>
      <c r="P13" s="12262" t="n"/>
      <c r="Q13" s="12259" t="n"/>
      <c r="R13" s="12259" t="n"/>
      <c r="S13" s="12259" t="n"/>
      <c r="T13" s="813" t="n"/>
      <c r="U13" s="12258" t="n"/>
      <c r="V13" s="813" t="inlineStr">
        <is>
          <t>No water added today. Dog swam ~1 min (negligible load). Rain expected 6/22 afternoon.</t>
        </is>
      </c>
      <c r="W13" s="12263" t="n"/>
    </row>
    <row r="14">
      <c r="A14" s="12264" t="inlineStr">
        <is>
          <t>2026-06-21</t>
        </is>
      </c>
      <c r="B14" s="12265" t="inlineStr">
        <is>
          <t>11:15</t>
        </is>
      </c>
      <c r="C14" s="12265" t="inlineStr">
        <is>
          <t>TEST</t>
        </is>
      </c>
      <c r="D14" s="12266" t="n"/>
      <c r="E14" s="12266" t="n">
        <v>10.2</v>
      </c>
      <c r="F14" s="12266" t="n">
        <v>0</v>
      </c>
      <c r="G14" s="12266" t="n">
        <v>1.4</v>
      </c>
      <c r="H14" s="12266" t="n"/>
      <c r="I14" s="12267" t="n"/>
      <c r="J14" s="12268" t="n"/>
      <c r="K14" s="12268" t="n"/>
      <c r="L14" s="12268" t="n"/>
      <c r="M14" s="12266" t="n"/>
      <c r="N14" s="12266" t="n"/>
      <c r="O14" s="12266" t="n">
        <v>13.6</v>
      </c>
      <c r="P14" s="12269" t="n">
        <v>0</v>
      </c>
      <c r="Q14" s="12266" t="n"/>
      <c r="R14" s="12266" t="n"/>
      <c r="S14" s="12266" t="n"/>
      <c r="T14" s="820" t="inlineStr">
        <is>
          <t>Super sunny, dry, low humidity, low-mid 80s</t>
        </is>
      </c>
      <c r="U14" s="12265" t="n"/>
      <c r="V14" s="820" t="inlineStr">
        <is>
          <t>25 mL x0.2. FC 10.2 (just below floor 11), CC 0.</t>
        </is>
      </c>
      <c r="W14" s="12270" t="n"/>
    </row>
    <row r="15" ht="20" customHeight="1">
      <c r="A15" s="12264" t="inlineStr">
        <is>
          <t>2026-06-21</t>
        </is>
      </c>
      <c r="B15" s="12265" t="inlineStr">
        <is>
          <t>~11:30</t>
        </is>
      </c>
      <c r="C15" s="12265" t="inlineStr">
        <is>
          <t>DOSE</t>
        </is>
      </c>
      <c r="D15" s="12266" t="n"/>
      <c r="E15" s="12266" t="n"/>
      <c r="F15" s="12266" t="n"/>
      <c r="G15" s="12266" t="n"/>
      <c r="H15" s="12266" t="n"/>
      <c r="I15" s="12267" t="n"/>
      <c r="J15" s="12268" t="n"/>
      <c r="K15" s="12268" t="n"/>
      <c r="L15" s="12268" t="n"/>
      <c r="M15" s="12266" t="n">
        <v>1.5</v>
      </c>
      <c r="N15" s="12266" t="n">
        <v>8</v>
      </c>
      <c r="O15" s="12266" t="n"/>
      <c r="P15" s="12269" t="n"/>
      <c r="Q15" s="12266" t="n"/>
      <c r="R15" s="12266" t="n"/>
      <c r="S15" s="12266" t="n"/>
      <c r="T15" s="820" t="n"/>
      <c r="U15" s="12265" t="n"/>
      <c r="V15" s="820" t="inlineStr">
        <is>
          <t>Target top of band ~16. 1.5 gal ~ +5.3 -&gt; ~15.5. Pump running.</t>
        </is>
      </c>
      <c r="W15" s="12270" t="n"/>
    </row>
    <row r="16" ht="20" customHeight="1">
      <c r="A16" s="12271" t="inlineStr">
        <is>
          <t>2026-06-21</t>
        </is>
      </c>
      <c r="B16" s="12272" t="inlineStr">
        <is>
          <t>22:40</t>
        </is>
      </c>
      <c r="C16" s="12272" t="inlineStr">
        <is>
          <t>PUMP</t>
        </is>
      </c>
      <c r="D16" s="12273" t="n"/>
      <c r="E16" s="12273" t="n"/>
      <c r="F16" s="12273" t="n"/>
      <c r="G16" s="12273" t="n"/>
      <c r="H16" s="12273" t="n"/>
      <c r="I16" s="12274" t="n"/>
      <c r="J16" s="12275" t="n"/>
      <c r="K16" s="12275" t="n"/>
      <c r="L16" s="12275" t="n"/>
      <c r="M16" s="12273" t="n"/>
      <c r="N16" s="12273" t="n"/>
      <c r="O16" s="12273" t="n"/>
      <c r="P16" s="12276" t="n"/>
      <c r="Q16" s="12273" t="n"/>
      <c r="R16" s="12273" t="n"/>
      <c r="S16" s="12273" t="n"/>
      <c r="T16" s="827" t="n"/>
      <c r="U16" s="12272" t="n"/>
      <c r="V16" s="827" t="inlineStr">
        <is>
          <t>Pump OFF for night (~10:40 PM).</t>
        </is>
      </c>
      <c r="W16" s="12277" t="n"/>
    </row>
    <row r="17" ht="20" customHeight="1">
      <c r="A17" s="12243" t="inlineStr">
        <is>
          <t>2026-06-22</t>
        </is>
      </c>
      <c r="B17" s="12244" t="inlineStr">
        <is>
          <t>07:00</t>
        </is>
      </c>
      <c r="C17" s="12244" t="inlineStr">
        <is>
          <t>PUMP</t>
        </is>
      </c>
      <c r="D17" s="12245" t="n"/>
      <c r="E17" s="12245" t="n"/>
      <c r="F17" s="12245" t="n"/>
      <c r="G17" s="12245" t="n"/>
      <c r="H17" s="12245" t="n"/>
      <c r="I17" s="12246" t="n"/>
      <c r="J17" s="12247" t="n"/>
      <c r="K17" s="12247" t="n"/>
      <c r="L17" s="12247" t="n"/>
      <c r="M17" s="12245" t="n"/>
      <c r="N17" s="12245" t="n"/>
      <c r="O17" s="12245" t="n"/>
      <c r="P17" s="12248" t="n"/>
      <c r="Q17" s="12245" t="n"/>
      <c r="R17" s="12245" t="n"/>
      <c r="S17" s="12245" t="n"/>
      <c r="T17" s="624" t="n"/>
      <c r="U17" s="12244" t="n"/>
      <c r="V17" s="624" t="inlineStr">
        <is>
          <t>Pump ON for the day (7 AM).</t>
        </is>
      </c>
      <c r="W17" s="12249" t="n"/>
    </row>
    <row r="18">
      <c r="A18" s="12278" t="inlineStr">
        <is>
          <t>2026-06-22</t>
        </is>
      </c>
      <c r="B18" s="12279" t="inlineStr">
        <is>
          <t>11:55</t>
        </is>
      </c>
      <c r="C18" s="12279" t="inlineStr">
        <is>
          <t>TEST</t>
        </is>
      </c>
      <c r="D18" s="12280" t="n"/>
      <c r="E18" s="12280" t="n">
        <v>12</v>
      </c>
      <c r="F18" s="12280" t="n">
        <v>0.4</v>
      </c>
      <c r="G18" s="12280" t="n">
        <v>3.4</v>
      </c>
      <c r="H18" s="12280" t="n"/>
      <c r="I18" s="12281" t="n"/>
      <c r="J18" s="12282" t="n"/>
      <c r="K18" s="12282" t="n"/>
      <c r="L18" s="12282" t="n"/>
      <c r="M18" s="12280" t="n"/>
      <c r="N18" s="12280" t="n"/>
      <c r="O18" s="12280" t="n">
        <v>0.3</v>
      </c>
      <c r="P18" s="12283" t="n">
        <v>0.33</v>
      </c>
      <c r="Q18" s="12280" t="n"/>
      <c r="R18" s="12280" t="n"/>
      <c r="S18" s="12280" t="n"/>
      <c r="T18" s="659" t="inlineStr">
        <is>
          <t>Mostly cloudy, 69F, 74% humidity, 0 in precip</t>
        </is>
      </c>
      <c r="U18" s="12279" t="n"/>
      <c r="V18" s="659" t="inlineStr">
        <is>
          <t>25 mL x0.2. FC 12.0 (above floor 11, below target band 13-16), CC 0.4 (slightly above ~0 goal). Cool/cloudy = low UV loss day.</t>
        </is>
      </c>
      <c r="W18" s="12284" t="n"/>
    </row>
    <row r="19">
      <c r="A19" s="12278" t="inlineStr">
        <is>
          <t>2026-06-22</t>
        </is>
      </c>
      <c r="B19" s="12279" t="inlineStr">
        <is>
          <t>12:00</t>
        </is>
      </c>
      <c r="C19" s="12279" t="inlineStr">
        <is>
          <t>DOSE</t>
        </is>
      </c>
      <c r="D19" s="12280" t="n"/>
      <c r="E19" s="12280" t="n"/>
      <c r="F19" s="12280" t="n"/>
      <c r="G19" s="12280" t="n"/>
      <c r="H19" s="12280" t="n"/>
      <c r="I19" s="12281" t="n"/>
      <c r="J19" s="12282" t="n"/>
      <c r="K19" s="12282" t="n"/>
      <c r="L19" s="12282" t="n"/>
      <c r="M19" s="12280" t="n">
        <v>1</v>
      </c>
      <c r="N19" s="12280" t="n">
        <v>9</v>
      </c>
      <c r="O19" s="12280" t="n"/>
      <c r="P19" s="12283" t="n"/>
      <c r="Q19" s="12280" t="n"/>
      <c r="R19" s="12280" t="n"/>
      <c r="S19" s="12280" t="n"/>
      <c r="T19" s="659" t="inlineStr">
        <is>
          <t>Mostly cloudy, 69F</t>
        </is>
      </c>
      <c r="U19" s="12279" t="n"/>
      <c r="V19" s="659" t="inlineStr">
        <is>
          <t>Dose to ~16 top of band. 1.0 gal ~ +3.5 -&gt; ~15.5. Conservative on a low-loss cloudy day. Higher FC should clear CC 0.4 by tomorrow. Pump running.</t>
        </is>
      </c>
      <c r="W19" s="12284" t="n"/>
    </row>
    <row r="20">
      <c r="A20" s="12278" t="inlineStr">
        <is>
          <t>2026-06-22</t>
        </is>
      </c>
      <c r="B20" s="12279" t="inlineStr">
        <is>
          <t>afternoon</t>
        </is>
      </c>
      <c r="C20" s="12279" t="inlineStr">
        <is>
          <t>EVENT - Storm</t>
        </is>
      </c>
      <c r="D20" s="12280" t="n"/>
      <c r="E20" s="12280" t="n"/>
      <c r="F20" s="12280" t="n"/>
      <c r="G20" s="12280" t="n"/>
      <c r="H20" s="12280" t="n"/>
      <c r="I20" s="12281" t="n"/>
      <c r="J20" s="12282" t="n"/>
      <c r="K20" s="12282" t="n"/>
      <c r="L20" s="12282" t="n"/>
      <c r="M20" s="12280" t="n"/>
      <c r="N20" s="12280" t="n"/>
      <c r="O20" s="12280" t="n"/>
      <c r="P20" s="12283" t="n"/>
      <c r="Q20" s="12280" t="n"/>
      <c r="R20" s="12280" t="n"/>
      <c r="S20" s="12280" t="n"/>
      <c r="T20" s="659" t="inlineStr">
        <is>
          <t>Rain/thunderstorms 1 PM through overnight</t>
        </is>
      </c>
      <c r="U20" s="12279" t="n"/>
      <c r="V20" s="659" t="inlineStr">
        <is>
          <t>Forecast: showers building ~1 PM, peak ~6 PM (96%, 0.12 in), rain/TS all evening + overnight. Est. ~0.3-0.4 in today, ~1+ in through Tue AM. ~1,000+ gal rainwater into 34,400 gal pool = passive CYA dilution (~2-3%). Plenty of freeboard, no overfill concern. Negligible FC loss (no UV).</t>
        </is>
      </c>
      <c r="W20" s="12284" t="n"/>
    </row>
    <row r="21" ht="20" customHeight="1">
      <c r="A21" s="12250" t="inlineStr">
        <is>
          <t>2026-06-22</t>
        </is>
      </c>
      <c r="B21" s="12251" t="inlineStr">
        <is>
          <t>22:10</t>
        </is>
      </c>
      <c r="C21" s="12251" t="inlineStr">
        <is>
          <t>PUMP</t>
        </is>
      </c>
      <c r="D21" s="12252" t="n"/>
      <c r="E21" s="12252" t="n"/>
      <c r="F21" s="12252" t="n"/>
      <c r="G21" s="12252" t="n"/>
      <c r="H21" s="12252" t="n"/>
      <c r="I21" s="12253" t="n"/>
      <c r="J21" s="12254" t="n"/>
      <c r="K21" s="12254" t="n"/>
      <c r="L21" s="12254" t="n"/>
      <c r="M21" s="12252" t="n"/>
      <c r="N21" s="12252" t="n"/>
      <c r="O21" s="12252" t="n"/>
      <c r="P21" s="12255" t="n"/>
      <c r="Q21" s="12252" t="n"/>
      <c r="R21" s="12252" t="n"/>
      <c r="S21" s="12252" t="n"/>
      <c r="T21" s="631" t="n"/>
      <c r="U21" s="12251" t="n"/>
      <c r="V21" s="631" t="inlineStr">
        <is>
          <t>Pump OFF for night (10:10 PM).</t>
        </is>
      </c>
      <c r="W21" s="12256" t="n"/>
    </row>
    <row r="22" ht="20" customHeight="1">
      <c r="A22" s="12257" t="inlineStr">
        <is>
          <t>2026-06-23</t>
        </is>
      </c>
      <c r="B22" s="12258" t="inlineStr">
        <is>
          <t>07:10</t>
        </is>
      </c>
      <c r="C22" s="12258" t="inlineStr">
        <is>
          <t>PUMP</t>
        </is>
      </c>
      <c r="D22" s="12259" t="n"/>
      <c r="E22" s="12259" t="n"/>
      <c r="F22" s="12259" t="n"/>
      <c r="G22" s="12259" t="n"/>
      <c r="H22" s="12259" t="n"/>
      <c r="I22" s="12260" t="n"/>
      <c r="J22" s="12261" t="n"/>
      <c r="K22" s="12261" t="n"/>
      <c r="L22" s="12261" t="n"/>
      <c r="M22" s="12259" t="n"/>
      <c r="N22" s="12259" t="n"/>
      <c r="O22" s="12259" t="n"/>
      <c r="P22" s="12262" t="n"/>
      <c r="Q22" s="12259" t="n"/>
      <c r="R22" s="12259" t="n"/>
      <c r="S22" s="12259" t="n"/>
      <c r="T22" s="813" t="n"/>
      <c r="U22" s="12258" t="n"/>
      <c r="V22" s="813" t="inlineStr">
        <is>
          <t>Pump ON for the day (7:10 AM).</t>
        </is>
      </c>
      <c r="W22" s="12263" t="n"/>
    </row>
    <row r="23">
      <c r="A23" s="12264" t="inlineStr">
        <is>
          <t>2026-06-23</t>
        </is>
      </c>
      <c r="B23" s="12265" t="inlineStr">
        <is>
          <t>12:01</t>
        </is>
      </c>
      <c r="C23" s="12265" t="inlineStr">
        <is>
          <t>TEST</t>
        </is>
      </c>
      <c r="D23" s="12266" t="n"/>
      <c r="E23" s="12266" t="n">
        <v>14</v>
      </c>
      <c r="F23" s="12266" t="n">
        <v>0.4</v>
      </c>
      <c r="G23" s="12266" t="n">
        <v>1.5</v>
      </c>
      <c r="H23" s="12266" t="n"/>
      <c r="I23" s="12267" t="n"/>
      <c r="J23" s="12268" t="n"/>
      <c r="K23" s="12268" t="n"/>
      <c r="L23" s="12268" t="n"/>
      <c r="M23" s="12266" t="n"/>
      <c r="N23" s="12266" t="n"/>
      <c r="O23" s="12266" t="n">
        <v>0</v>
      </c>
      <c r="P23" s="12269" t="n">
        <v>0.2</v>
      </c>
      <c r="Q23" s="12266" t="n"/>
      <c r="R23" s="12266" t="n"/>
      <c r="S23" s="12266" t="n"/>
      <c r="T23" s="820" t="inlineStr">
        <is>
          <t>Overcast, 70F, 87% RH; today high 72F, 0.09in precip, UV max 1.1</t>
        </is>
      </c>
      <c r="U23" s="12265" t="n"/>
      <c r="V23" s="820" t="inlineStr">
        <is>
          <t>25 mL x0.2. FC 14.0 (in band 13-16, above floor 11), CC 0.4. CC holding at 0.4 (same as 6/22) - below 0.5 flag but 2nd day, watching.</t>
        </is>
      </c>
      <c r="W23" s="12270" t="n"/>
    </row>
    <row r="24">
      <c r="A24" s="12271" t="inlineStr">
        <is>
          <t>2026-06-23</t>
        </is>
      </c>
      <c r="B24" s="12272" t="inlineStr">
        <is>
          <t>~12:30</t>
        </is>
      </c>
      <c r="C24" s="12272" t="inlineStr">
        <is>
          <t>DOSE</t>
        </is>
      </c>
      <c r="D24" s="12273" t="n"/>
      <c r="E24" s="12273" t="n"/>
      <c r="F24" s="12273" t="n"/>
      <c r="G24" s="12273" t="n"/>
      <c r="H24" s="12273" t="n"/>
      <c r="I24" s="12274" t="n"/>
      <c r="J24" s="12275" t="n"/>
      <c r="K24" s="12275" t="n"/>
      <c r="L24" s="12275" t="n"/>
      <c r="M24" s="12273" t="n">
        <v>0.5</v>
      </c>
      <c r="N24" s="12273" t="n">
        <v>9.5</v>
      </c>
      <c r="O24" s="12273" t="n"/>
      <c r="P24" s="12276" t="n"/>
      <c r="Q24" s="12273" t="n"/>
      <c r="R24" s="12273" t="n"/>
      <c r="S24" s="12273" t="n"/>
      <c r="T24" s="827" t="inlineStr">
        <is>
          <t>Overcast, 70F, low UV</t>
        </is>
      </c>
      <c r="U24" s="12272" t="n"/>
      <c r="V24" s="827" t="inlineStr">
        <is>
          <t>0.5 gal ~ +1.75 -&gt; ~15.8 (top of band ~16). Cloudy/low-UV day, est ~1.75 ppm loss -&gt; ~14 next noon, still in band. Higher FC should help clear CC 0.4. Added ~12:30 PM, pump running.</t>
        </is>
      </c>
      <c r="W24" s="12277" t="n"/>
    </row>
    <row r="25">
      <c r="A25" s="12243" t="inlineStr">
        <is>
          <t>2026-06-24</t>
        </is>
      </c>
      <c r="B25" s="12244" t="inlineStr">
        <is>
          <t>13:30</t>
        </is>
      </c>
      <c r="C25" s="12244" t="inlineStr">
        <is>
          <t>TEST</t>
        </is>
      </c>
      <c r="D25" s="12245" t="n">
        <v>7.6</v>
      </c>
      <c r="E25" s="12245" t="n">
        <v>11.2</v>
      </c>
      <c r="F25" s="12245" t="n">
        <v>0</v>
      </c>
      <c r="G25" s="12245" t="n">
        <v>4.6</v>
      </c>
      <c r="H25" s="12245" t="n"/>
      <c r="I25" s="12246" t="n"/>
      <c r="J25" s="12247" t="n">
        <v>170</v>
      </c>
      <c r="K25" s="12247" t="n">
        <v>150</v>
      </c>
      <c r="L25" s="12247" t="n">
        <v>150</v>
      </c>
      <c r="M25" s="12245" t="n"/>
      <c r="N25" s="12245" t="n"/>
      <c r="O25" s="12245" t="n">
        <v>13.6</v>
      </c>
      <c r="P25" s="12248" t="n">
        <v>0</v>
      </c>
      <c r="Q25" s="12245" t="n"/>
      <c r="R25" s="12245" t="n"/>
      <c r="S25" s="12245" t="n"/>
      <c r="T25" s="624" t="inlineStr">
        <is>
          <t>Clear, 79F, 40% RH; today high 80F, 0.00in precip, UV max 7.8</t>
        </is>
      </c>
      <c r="U25" s="12244" t="n"/>
      <c r="V25" s="624" t="inlineStr">
        <is>
          <t>FULL BATTERY on FRESH FAS-DPD reagents (25mL x0.2). FC 11.2 (at floor 11), CC 0.0 (confirms 6/22-23 0.4 was old-reagent noise). CYA ~150 via dilution (was ~160 old) -&gt; new anchor, cya_current=150. TA 170 &amp; pH 7.6 (both up from old ~130/~7.3) - leaving alone per rules, watch pH if &gt;7.8. CH 150 (irrelevant on vinyl). NOTE: fc_loss 4.6 crosses old-&gt;fresh reagent change, partly reagent bias.</t>
        </is>
      </c>
      <c r="W25" s="12249" t="n"/>
    </row>
    <row r="26">
      <c r="A26" s="12250" t="inlineStr">
        <is>
          <t>2026-06-24</t>
        </is>
      </c>
      <c r="B26" s="12251" t="inlineStr">
        <is>
          <t>~13:45</t>
        </is>
      </c>
      <c r="C26" s="12251" t="inlineStr">
        <is>
          <t>DOSE</t>
        </is>
      </c>
      <c r="D26" s="12252" t="n"/>
      <c r="E26" s="12252" t="n"/>
      <c r="F26" s="12252" t="n"/>
      <c r="G26" s="12252" t="n"/>
      <c r="H26" s="12252" t="n"/>
      <c r="I26" s="12253" t="n"/>
      <c r="J26" s="12254" t="n"/>
      <c r="K26" s="12254" t="n"/>
      <c r="L26" s="12254" t="n"/>
      <c r="M26" s="12252" t="n">
        <v>1.25</v>
      </c>
      <c r="N26" s="12252" t="n">
        <v>10.75</v>
      </c>
      <c r="O26" s="12252" t="n"/>
      <c r="P26" s="12255" t="n"/>
      <c r="Q26" s="12252" t="n"/>
      <c r="R26" s="12252" t="n"/>
      <c r="S26" s="12252" t="n"/>
      <c r="T26" s="631" t="inlineStr">
        <is>
          <t>Clear, 79F, sunny, UV 7.8</t>
        </is>
      </c>
      <c r="U26" s="12251" t="n"/>
      <c r="V26" s="631" t="inlineStr">
        <is>
          <t>Recommended 1.25 gal (rounded up from 1.0 nominal for high-UV day). ~ +4.4 -&gt; FC ~15.6 (aim ~15). Sunny ~4 ppm loss -&gt; ~11.6 next noon, just above floor 11. First big-sun day after rainy stretch. Confirmed added ~1:45 PM. Pump on (auto 7-22).</t>
        </is>
      </c>
      <c r="W26" s="12256" t="n"/>
    </row>
    <row r="27">
      <c r="A27" s="12257" t="inlineStr">
        <is>
          <t>2026-06-25</t>
        </is>
      </c>
      <c r="B27" s="12258" t="inlineStr">
        <is>
          <t>12:30</t>
        </is>
      </c>
      <c r="C27" s="12258" t="inlineStr">
        <is>
          <t>TEST</t>
        </is>
      </c>
      <c r="D27" s="12259" t="n"/>
      <c r="E27" s="12259" t="n">
        <v>14.4</v>
      </c>
      <c r="F27" s="12259" t="n">
        <v>0</v>
      </c>
      <c r="G27" s="12259" t="n">
        <v>1.2</v>
      </c>
      <c r="H27" s="12259" t="n"/>
      <c r="I27" s="12260" t="n"/>
      <c r="J27" s="12261" t="n"/>
      <c r="K27" s="12261" t="n"/>
      <c r="L27" s="12261" t="n"/>
      <c r="M27" s="12259" t="n"/>
      <c r="N27" s="12259" t="n"/>
      <c r="O27" s="12259" t="n">
        <v>11.6</v>
      </c>
      <c r="P27" s="12262" t="n">
        <v>0</v>
      </c>
      <c r="Q27" s="12259" t="n"/>
      <c r="R27" s="12259" t="n"/>
      <c r="S27" s="12259" t="n"/>
      <c r="T27" s="813" t="inlineStr">
        <is>
          <t>Clear, 75F, 40% RH; today high 80F, 0.00in precip, UV max 7.8</t>
        </is>
      </c>
      <c r="U27" s="12258" t="n"/>
      <c r="V27" s="813" t="inlineStr">
        <is>
          <t>25mL x0.2. FC 14.4 (in band 13-15, at aim 15), CC 0.0. Yesterday's ~15.6 -&gt; 14.4 = only ~1.2 ppm loss over ~23h vs ~4 projected. Dose-timing artifact (dosed 1:45PM, missed peak UV) + high-CYA protection. Watching whether sunny=4.0 in dose.py is too high.</t>
        </is>
      </c>
      <c r="W27" s="12263" t="n"/>
    </row>
    <row r="28">
      <c r="A28" s="12271" t="inlineStr">
        <is>
          <t>2026-06-25</t>
        </is>
      </c>
      <c r="B28" s="12272" t="inlineStr">
        <is>
          <t>18:30</t>
        </is>
      </c>
      <c r="C28" s="12272" t="inlineStr">
        <is>
          <t>DOSE</t>
        </is>
      </c>
      <c r="D28" s="12273" t="n"/>
      <c r="E28" s="12273" t="n"/>
      <c r="F28" s="12273" t="n"/>
      <c r="G28" s="12273" t="n"/>
      <c r="H28" s="12273" t="n"/>
      <c r="I28" s="12274" t="n"/>
      <c r="J28" s="12275" t="n"/>
      <c r="K28" s="12275" t="n"/>
      <c r="L28" s="12275" t="n"/>
      <c r="M28" s="12273" t="n">
        <v>0.25</v>
      </c>
      <c r="N28" s="12273" t="n">
        <v>11</v>
      </c>
      <c r="O28" s="12273" t="n"/>
      <c r="P28" s="12276" t="n"/>
      <c r="Q28" s="12273" t="n"/>
      <c r="R28" s="12273" t="n"/>
      <c r="S28" s="12273" t="n"/>
      <c r="T28" s="827" t="inlineStr">
        <is>
          <t>Clear, 75F, sunny, UV 7.8</t>
        </is>
      </c>
      <c r="U28" s="12272" t="n"/>
      <c r="V28" s="827" t="inlineStr">
        <is>
          <t>0.25 gal top-up. First evening dose under new routine. Added 6:30 PM - pool already out of direct sun by then (shaded earlier than ~8:25 sunset). FC 14.4 at aim -&gt; ~15.3, minimal overnight loss. Pump on (auto off 10 PM).</t>
        </is>
      </c>
      <c r="W28" s="12277" t="n"/>
    </row>
    <row r="29">
      <c r="A29" s="12243" t="inlineStr">
        <is>
          <t>2026-06-26</t>
        </is>
      </c>
      <c r="B29" s="12244" t="inlineStr">
        <is>
          <t>12:25</t>
        </is>
      </c>
      <c r="C29" s="12244" t="inlineStr">
        <is>
          <t>TEST</t>
        </is>
      </c>
      <c r="D29" s="12245" t="n"/>
      <c r="E29" s="12245" t="n">
        <v>14.2</v>
      </c>
      <c r="F29" s="12245" t="n">
        <v>0</v>
      </c>
      <c r="G29" s="12245" t="n">
        <v>1.1</v>
      </c>
      <c r="H29" s="12245" t="n"/>
      <c r="I29" s="12246" t="n"/>
      <c r="J29" s="12247" t="n"/>
      <c r="K29" s="12247" t="n"/>
      <c r="L29" s="12247" t="n"/>
      <c r="M29" s="12245" t="n"/>
      <c r="N29" s="12245" t="n"/>
      <c r="O29" s="12245" t="n">
        <v>5.8</v>
      </c>
      <c r="P29" s="12248" t="n">
        <v>1.36</v>
      </c>
      <c r="Q29" s="12245" t="n"/>
      <c r="R29" s="12245" t="n"/>
      <c r="S29" s="12245" t="n"/>
      <c r="T29" s="624" t="inlineStr">
        <is>
          <t>Overcast, 69F, 94% RH; today high 75F, 0.15in precip, UV max 5.8</t>
        </is>
      </c>
      <c r="U29" s="12244" t="n"/>
      <c r="V29" s="624" t="inlineStr">
        <is>
          <t>25mL x0.2. FC 14.2 (in band 13-15), CC 0.0. Evening-dose validation: 15.3 (6:30PM dose 6/25) -&gt; 14.2 = ~1.1 ppm loss over ~18h (rain/overcast, evening dose skipped all UV). Some rain overnight.</t>
        </is>
      </c>
      <c r="W29" s="12249" t="n"/>
    </row>
    <row r="30">
      <c r="A30" s="12250" t="inlineStr">
        <is>
          <t>2026-06-26</t>
        </is>
      </c>
      <c r="B30" s="12251" t="inlineStr">
        <is>
          <t>12:25</t>
        </is>
      </c>
      <c r="C30" s="12251" t="inlineStr">
        <is>
          <t>NOTE</t>
        </is>
      </c>
      <c r="D30" s="12252" t="n"/>
      <c r="E30" s="12252" t="n"/>
      <c r="F30" s="12252" t="n"/>
      <c r="G30" s="12252" t="n"/>
      <c r="H30" s="12252" t="n"/>
      <c r="I30" s="12253" t="n"/>
      <c r="J30" s="12254" t="n"/>
      <c r="K30" s="12254" t="n"/>
      <c r="L30" s="12254" t="n"/>
      <c r="M30" s="12252" t="n"/>
      <c r="N30" s="12252" t="n"/>
      <c r="O30" s="12252" t="n"/>
      <c r="P30" s="12255" t="n"/>
      <c r="Q30" s="12252" t="n"/>
      <c r="R30" s="12252" t="n"/>
      <c r="S30" s="12252" t="n"/>
      <c r="T30" s="631" t="inlineStr">
        <is>
          <t>Overcast/rain, low UV</t>
        </is>
      </c>
      <c r="U30" s="12251" t="n"/>
      <c r="V30" s="631" t="inlineStr">
        <is>
          <t>NO DOSE today. FC 14.2 well in band on a low-loss rainy day; projected ~13 by next noon, above floor 11. Held chlorine for efficiency (dose.py nominal was 0.25 to top of band).</t>
        </is>
      </c>
      <c r="W30" s="12256" t="n"/>
    </row>
    <row r="31">
      <c r="A31" s="12257" t="inlineStr">
        <is>
          <t>2026-06-27</t>
        </is>
      </c>
      <c r="B31" s="12258" t="inlineStr">
        <is>
          <t>12:35</t>
        </is>
      </c>
      <c r="C31" s="12258" t="inlineStr">
        <is>
          <t>TEST</t>
        </is>
      </c>
      <c r="D31" s="12259" t="n"/>
      <c r="E31" s="12259" t="n">
        <v>10.6</v>
      </c>
      <c r="F31" s="12259" t="n">
        <v>0</v>
      </c>
      <c r="G31" s="12259" t="n">
        <v>3.6</v>
      </c>
      <c r="H31" s="12259" t="n"/>
      <c r="I31" s="12260" t="n"/>
      <c r="J31" s="12261" t="n"/>
      <c r="K31" s="12261" t="n"/>
      <c r="L31" s="12261" t="n"/>
      <c r="M31" s="12259" t="n"/>
      <c r="N31" s="12259" t="n"/>
      <c r="O31" s="12259" t="n">
        <v>5.2</v>
      </c>
      <c r="P31" s="12262" t="n">
        <v>0</v>
      </c>
      <c r="Q31" s="12259" t="n"/>
      <c r="R31" s="12259" t="n"/>
      <c r="S31" s="12259" t="n"/>
      <c r="T31" s="813" t="inlineStr">
        <is>
          <t>Sunny AM (~5 sunshine hrs), clouded over ~12:25; 77-79F</t>
        </is>
      </c>
      <c r="U31" s="12258" t="inlineStr">
        <is>
          <t>2026-06-27_1.jpg;2026-06-27_2.jpg;2026-06-27_3.jpg</t>
        </is>
      </c>
      <c r="V31" s="813" t="inlineStr">
        <is>
          <t>25mL x0.2. FC 10.6 (just below floor 11), CC 0.0. Loss 14.2-&gt;10.6 = ~3.6 ppm/24h = NORMAL sunny-day loss: morning was super sunny (weather.py noon snapshot wrongly read overcast). No demand issue - water clear, no algae, ladder not yet installed. PHOTOS (3): water CLEAR - bottom/steps crisp across deep+shallow, clean blue, no green/algae, waterline clean. Surface streaks = tree-shadow reflections (overcast). Shallow floor near steps shows mild mottling/light patches - reads as liner speckle pattern + lighting, NOT algae; no obvious iron/rust stain visible. For stain tracking, want a straight-down close-up of the suspected spot near returns in even shade (less glare).</t>
        </is>
      </c>
      <c r="W31" s="12263" t="n"/>
    </row>
    <row r="32">
      <c r="A32" s="12271" t="inlineStr">
        <is>
          <t>2026-06-27</t>
        </is>
      </c>
      <c r="B32" s="12272" t="inlineStr">
        <is>
          <t>17:35</t>
        </is>
      </c>
      <c r="C32" s="12272" t="inlineStr">
        <is>
          <t>DOSE</t>
        </is>
      </c>
      <c r="D32" s="12273" t="n"/>
      <c r="E32" s="12273" t="n"/>
      <c r="F32" s="12273" t="n"/>
      <c r="G32" s="12273" t="n"/>
      <c r="H32" s="12273" t="n">
        <v>12.8</v>
      </c>
      <c r="I32" s="12274" t="n"/>
      <c r="J32" s="12275" t="n"/>
      <c r="K32" s="12275" t="n"/>
      <c r="L32" s="12275" t="n"/>
      <c r="M32" s="12273" t="n">
        <v>1.5</v>
      </c>
      <c r="N32" s="12273" t="n">
        <v>12.5</v>
      </c>
      <c r="O32" s="12273" t="n"/>
      <c r="P32" s="12276" t="n"/>
      <c r="Q32" s="12273" t="n"/>
      <c r="R32" s="12273" t="n"/>
      <c r="S32" s="12273" t="n"/>
      <c r="T32" s="827" t="inlineStr">
        <is>
          <t>Overcast, 79F</t>
        </is>
      </c>
      <c r="U32" s="12272" t="n"/>
      <c r="V32" s="827" t="inlineStr">
        <is>
          <t>1.5 gal added 5:35 PM (pool shaded, pump running). Rebuild after FC dipped just below floor; 1.5 gal ~ +5.25 -&gt; ~15.8. Season total 12.5 gal.</t>
        </is>
      </c>
      <c r="W32" s="12277" t="n"/>
    </row>
    <row r="33">
      <c r="A33" s="12243" t="inlineStr">
        <is>
          <t>2026-06-28</t>
        </is>
      </c>
      <c r="B33" s="12244" t="inlineStr">
        <is>
          <t>12:40</t>
        </is>
      </c>
      <c r="C33" s="12244" t="inlineStr">
        <is>
          <t>TEST</t>
        </is>
      </c>
      <c r="D33" s="12245" t="n"/>
      <c r="E33" s="12245" t="n">
        <v>12.8</v>
      </c>
      <c r="F33" s="12245" t="n">
        <v>0.2</v>
      </c>
      <c r="G33" s="12245" t="n">
        <v>3</v>
      </c>
      <c r="H33" s="12245" t="n"/>
      <c r="I33" s="12246" t="n">
        <v>0</v>
      </c>
      <c r="J33" s="12247" t="n"/>
      <c r="K33" s="12247" t="n"/>
      <c r="L33" s="12247" t="n"/>
      <c r="M33" s="12245" t="n"/>
      <c r="N33" s="12245" t="n"/>
      <c r="O33" s="12245" t="n">
        <v>9.300000000000001</v>
      </c>
      <c r="P33" s="12248" t="n">
        <v>0</v>
      </c>
      <c r="Q33" s="12245" t="n"/>
      <c r="R33" s="12245" t="n">
        <v>79</v>
      </c>
      <c r="S33" s="12245" t="n"/>
      <c r="T33" s="624" t="inlineStr">
        <is>
          <t>Sunny day (~9 sun hrs), 75-79F, clouded at midday; UV max 7.5</t>
        </is>
      </c>
      <c r="U33" s="12244" t="inlineStr">
        <is>
          <t>2026-06-28_1.jpg;2026-06-28_2.jpg;2026-06-28_3.jpg;2026-06-28_4.jpg</t>
        </is>
      </c>
      <c r="V33" s="624" t="inlineStr">
        <is>
          <t>25mL x0.2. FC 12.8 (in band 13-15), CC 0.2 (trace = 1 drop; was 0.0 - watch). Loss ~3.0 ppm/19h from 6/27 eve dose (~15.8) - normal for a 67%-sun morning. Evening-dose routine holding well. WATER TEMP 79F. PHOTOS(4): water still clear (bottom visible), clean blue, no algae. Scattered debris specks (dirt/organic from landscaping today) on surface+floor + faint plume (stir-up/fresh dose) - cosmetic, filter/skim will clear; brush/vac if it settles. Straight-down near return: normal speckled liner, NO clear iron/rust stain (loose debris on top, not staining). Debris vacuumed + skimmed out same day -&gt; negligible Cl demand expected; treat tomorrow loss as normal.</t>
        </is>
      </c>
      <c r="W33" s="12249" t="n"/>
    </row>
    <row r="34">
      <c r="A34" s="12250" t="inlineStr">
        <is>
          <t>2026-06-28</t>
        </is>
      </c>
      <c r="B34" s="12251" t="inlineStr">
        <is>
          <t>~17:55</t>
        </is>
      </c>
      <c r="C34" s="12251" t="inlineStr">
        <is>
          <t>DOSE</t>
        </is>
      </c>
      <c r="D34" s="12252" t="n"/>
      <c r="E34" s="12252" t="n"/>
      <c r="F34" s="12252" t="n"/>
      <c r="G34" s="12252" t="n"/>
      <c r="H34" s="12252" t="n">
        <v>12.3</v>
      </c>
      <c r="I34" s="12253" t="n"/>
      <c r="J34" s="12254" t="n"/>
      <c r="K34" s="12254" t="n"/>
      <c r="L34" s="12254" t="n"/>
      <c r="M34" s="12252" t="n">
        <v>1</v>
      </c>
      <c r="N34" s="12252" t="n">
        <v>13.5</v>
      </c>
      <c r="O34" s="12252" t="n"/>
      <c r="P34" s="12255" t="n"/>
      <c r="Q34" s="12252" t="n"/>
      <c r="R34" s="12252" t="n"/>
      <c r="S34" s="12252" t="n"/>
      <c r="T34" s="631" t="inlineStr">
        <is>
          <t>Sunny, 75-79F, UV 7.5</t>
        </is>
      </c>
      <c r="U34" s="12251" t="n"/>
      <c r="V34" s="631" t="inlineStr">
        <is>
          <t>1.0 gal added ~5:55 PM (photos timestamped 5:59; pool shaded, pump running). Targets ~15. Season total 13.5 gal.</t>
        </is>
      </c>
      <c r="W34" s="12256" t="n"/>
    </row>
    <row r="35">
      <c r="A35" s="12257" t="inlineStr">
        <is>
          <t>2026-06-29</t>
        </is>
      </c>
      <c r="B35" s="12258" t="inlineStr">
        <is>
          <t>12:10</t>
        </is>
      </c>
      <c r="C35" s="12258" t="inlineStr">
        <is>
          <t>TEST</t>
        </is>
      </c>
      <c r="D35" s="12259" t="n"/>
      <c r="E35" s="12259" t="n">
        <v>14</v>
      </c>
      <c r="F35" s="12259" t="n">
        <v>0.2</v>
      </c>
      <c r="G35" s="12259" t="n">
        <v>2.3</v>
      </c>
      <c r="H35" s="12259" t="n"/>
      <c r="I35" s="12260" t="n">
        <v>1.7</v>
      </c>
      <c r="J35" s="12261" t="n"/>
      <c r="K35" s="12261" t="n"/>
      <c r="L35" s="12261" t="n"/>
      <c r="M35" s="12259" t="n"/>
      <c r="N35" s="12259" t="n"/>
      <c r="O35" s="12259" t="n">
        <v>12.2</v>
      </c>
      <c r="P35" s="12262" t="n">
        <v>0</v>
      </c>
      <c r="Q35" s="12259" t="n"/>
      <c r="R35" s="12259" t="n">
        <v>80</v>
      </c>
      <c r="S35" s="12259" t="n"/>
      <c r="T35" s="813" t="inlineStr">
        <is>
          <t>Very sunny + hot (~12 sun hrs), high 82F, UV 7.8; hot all week</t>
        </is>
      </c>
      <c r="U35" s="12258" t="inlineStr">
        <is>
          <t>2026-06-29_1.jpg;2026-06-29_2.jpg;2026-06-29_3.jpg;2026-06-29_4.jpg</t>
        </is>
      </c>
      <c r="V35" s="813" t="inlineStr">
        <is>
          <t>25mL x0.2. FC 14.0 (in band 13-15, near aim), CC 0.2 (trace, holding ~0.2 - not climbing). Loss 2.3 ppm/24h (evening dose dodged afternoon UV). VERY sunny + hot week ahead -&gt; expect high daily UV demand; dose to top of band each evening for buffer, do NOT skip. PHOTOS(4): water clear+healthy (evening), clean blue, no algae, good clarity after dose+fill. Better stairs/return close-up: liner shows normal speckled pattern, NO clear iron/rust stain visible - if present it is subtle/masked. Ascorbic-acid SPOT TEST is the definitive check.</t>
        </is>
      </c>
      <c r="W35" s="12263" t="n"/>
    </row>
    <row r="36">
      <c r="A36" s="12264" t="inlineStr">
        <is>
          <t>2026-06-29</t>
        </is>
      </c>
      <c r="B36" s="12265" t="inlineStr">
        <is>
          <t>18:30</t>
        </is>
      </c>
      <c r="C36" s="12265" t="inlineStr">
        <is>
          <t>DOSE</t>
        </is>
      </c>
      <c r="D36" s="12266" t="n"/>
      <c r="E36" s="12266" t="n"/>
      <c r="F36" s="12266" t="n"/>
      <c r="G36" s="12266" t="n"/>
      <c r="H36" s="12266" t="n">
        <v>14.2</v>
      </c>
      <c r="I36" s="12267" t="n"/>
      <c r="J36" s="12268" t="n"/>
      <c r="K36" s="12268" t="n"/>
      <c r="L36" s="12268" t="n"/>
      <c r="M36" s="12266" t="n">
        <v>1.5</v>
      </c>
      <c r="N36" s="12266" t="n">
        <v>15</v>
      </c>
      <c r="O36" s="12266" t="n"/>
      <c r="P36" s="12269" t="n"/>
      <c r="Q36" s="12266" t="n"/>
      <c r="R36" s="12266" t="n"/>
      <c r="S36" s="12266" t="n"/>
      <c r="T36" s="820" t="inlineStr">
        <is>
          <t>Very sunny, high 82F, UV 7.8</t>
        </is>
      </c>
      <c r="U36" s="12265" t="n"/>
      <c r="V36" s="820" t="inlineStr">
        <is>
          <t>1.5 gal added 6:30 PM (leftover 0.5 + full 1.0 - easier than measuring 0.25). ~ +5.25 -&gt; ~16.5-17 evening; buffer for hot very-sunny day. Projects ~14 next noon. Season total 15.0 gal.</t>
        </is>
      </c>
      <c r="W36" s="12270" t="n"/>
    </row>
    <row r="37">
      <c r="A37" s="12271" t="inlineStr">
        <is>
          <t>2026-06-29</t>
        </is>
      </c>
      <c r="B37" s="12272" t="inlineStr">
        <is>
          <t>evening</t>
        </is>
      </c>
      <c r="C37" s="12272" t="inlineStr">
        <is>
          <t>EVENT - Fill</t>
        </is>
      </c>
      <c r="D37" s="12273" t="n"/>
      <c r="E37" s="12273" t="n"/>
      <c r="F37" s="12273" t="n"/>
      <c r="G37" s="12273" t="n"/>
      <c r="H37" s="12273" t="n"/>
      <c r="I37" s="12274" t="n"/>
      <c r="J37" s="12275" t="n"/>
      <c r="K37" s="12275" t="n"/>
      <c r="L37" s="12275" t="n"/>
      <c r="M37" s="12273" t="n"/>
      <c r="N37" s="12273" t="n"/>
      <c r="O37" s="12273" t="n"/>
      <c r="P37" s="12276" t="n"/>
      <c r="Q37" s="12273" t="n">
        <v>93</v>
      </c>
      <c r="R37" s="12273" t="n"/>
      <c r="S37" s="12273" t="n"/>
      <c r="T37" s="827" t="n"/>
      <c r="U37" s="12272" t="n"/>
      <c r="V37" s="827" t="inlineStr">
        <is>
          <t>Well-water top-off: hose 30 min @ ~3.1 GPM = ~93 gal into 34,400. CYA dilution ~0.3% (~0.4 ppm) - negligible/day, nudges passive CYA lowering. Brings well metals (Fe/Mn) -&gt; sequestrant pending (John checking for metal-out). Week well-water cumulative: ~93 gal.</t>
        </is>
      </c>
      <c r="W37" s="12277" t="n"/>
    </row>
    <row r="38">
      <c r="A38" s="12243" t="inlineStr">
        <is>
          <t>2026-06-30</t>
        </is>
      </c>
      <c r="B38" s="12244" t="inlineStr">
        <is>
          <t>12:15</t>
        </is>
      </c>
      <c r="C38" s="12244" t="inlineStr">
        <is>
          <t>TEST</t>
        </is>
      </c>
      <c r="D38" s="12245" t="n"/>
      <c r="E38" s="12245" t="n">
        <v>14.6</v>
      </c>
      <c r="F38" s="12245" t="n">
        <v>0</v>
      </c>
      <c r="G38" s="12245" t="n">
        <v>4.7</v>
      </c>
      <c r="H38" s="12245" t="n"/>
      <c r="I38" s="12246" t="n">
        <v>0.4</v>
      </c>
      <c r="J38" s="12247" t="n"/>
      <c r="K38" s="12247" t="n"/>
      <c r="L38" s="12247" t="n"/>
      <c r="M38" s="12245" t="n"/>
      <c r="N38" s="12245" t="n"/>
      <c r="O38" s="12245" t="n">
        <v>10.2</v>
      </c>
      <c r="P38" s="12248" t="n">
        <v>0</v>
      </c>
      <c r="Q38" s="12245" t="n"/>
      <c r="R38" s="12245" t="n">
        <v>80.5</v>
      </c>
      <c r="S38" s="12245" t="n"/>
      <c r="T38" s="624" t="inlineStr">
        <is>
          <t>Super sunny + hot, high 84F (~10 sun hrs), UV 7.9</t>
        </is>
      </c>
      <c r="U38" s="12244" t="inlineStr">
        <is>
          <t>2026-06-30_1.jpg;2026-06-30_2.jpg;2026-06-30_3.jpg;2026-06-30_4.jpg</t>
        </is>
      </c>
      <c r="V38" s="624" t="inlineStr">
        <is>
          <t>25mL x0.2. FC 14.6 (in band 13-15, near aim), CC 0.0 (the 0.2 trace cleared - higher FC worked). Loss 4.7 ppm/24h - hot very-sunny day; last night's 1.5 gal buffer absorbed it, still in band. Water 80.5F (warming). Hotter today (84F). PHOTOS(4): water clear+healthy (evening), clean blue, no algae, bottom visible; minor surface ripple from fill. No new stain concerns.</t>
        </is>
      </c>
      <c r="W38" s="12249" t="n"/>
    </row>
    <row r="39">
      <c r="A39" s="12278" t="inlineStr">
        <is>
          <t>2026-06-30</t>
        </is>
      </c>
      <c r="B39" s="12279" t="inlineStr">
        <is>
          <t>18:50</t>
        </is>
      </c>
      <c r="C39" s="12279" t="inlineStr">
        <is>
          <t>DOSE</t>
        </is>
      </c>
      <c r="D39" s="12280" t="n"/>
      <c r="E39" s="12280" t="n"/>
      <c r="F39" s="12280" t="n"/>
      <c r="G39" s="12280" t="n"/>
      <c r="H39" s="12280" t="n">
        <v>14.8</v>
      </c>
      <c r="I39" s="12281" t="n"/>
      <c r="J39" s="12282" t="n"/>
      <c r="K39" s="12282" t="n"/>
      <c r="L39" s="12282" t="n"/>
      <c r="M39" s="12280" t="n">
        <v>1.5</v>
      </c>
      <c r="N39" s="12280" t="n">
        <v>16.5</v>
      </c>
      <c r="O39" s="12280" t="n"/>
      <c r="P39" s="12283" t="n"/>
      <c r="Q39" s="12280" t="n"/>
      <c r="R39" s="12280" t="n"/>
      <c r="S39" s="12280" t="n"/>
      <c r="T39" s="659" t="inlineStr">
        <is>
          <t>Super sunny, high 84F, UV 7.9</t>
        </is>
      </c>
      <c r="U39" s="12279" t="n"/>
      <c r="V39" s="659" t="inlineStr">
        <is>
          <t>1.5 gal added 6:50 PM (pump running). ~ +5.25 -&gt; ~16.5-17 evening; buffer for hot sunny stretch. Projects ~12-13 next noon. Season total 16.5 gal.</t>
        </is>
      </c>
      <c r="W39" s="12284" t="n"/>
    </row>
    <row r="40">
      <c r="A40" s="12250" t="inlineStr">
        <is>
          <t>2026-06-30</t>
        </is>
      </c>
      <c r="B40" s="12251" t="inlineStr">
        <is>
          <t>evening</t>
        </is>
      </c>
      <c r="C40" s="12251" t="inlineStr">
        <is>
          <t>EVENT - Fill</t>
        </is>
      </c>
      <c r="D40" s="12252" t="n"/>
      <c r="E40" s="12252" t="n"/>
      <c r="F40" s="12252" t="n"/>
      <c r="G40" s="12252" t="n"/>
      <c r="H40" s="12252" t="n"/>
      <c r="I40" s="12253" t="n"/>
      <c r="J40" s="12254" t="n"/>
      <c r="K40" s="12254" t="n"/>
      <c r="L40" s="12254" t="n"/>
      <c r="M40" s="12252" t="n"/>
      <c r="N40" s="12252" t="n"/>
      <c r="O40" s="12252" t="n"/>
      <c r="P40" s="12255" t="n"/>
      <c r="Q40" s="12252" t="n">
        <v>158</v>
      </c>
      <c r="R40" s="12252" t="n"/>
      <c r="S40" s="12252" t="n"/>
      <c r="T40" s="631" t="n"/>
      <c r="U40" s="12251" t="n"/>
      <c r="V40" s="631" t="inlineStr">
        <is>
          <t>Well-water top-off: hose 51 min @ ~3.1 GPM = ~158 gal into 34,400 (level +~0.32 in / 5/16). CYA dilution ~0.5% (~0.7 ppm). Brings well metals -&gt; sequestrant (Pool Mate Metal Out) to be dosed later. WEEK well-water cumulative: ~251 gal (6/29 93 + 6/30 158).</t>
        </is>
      </c>
      <c r="W40" s="12256" t="n"/>
    </row>
    <row r="41">
      <c r="A41" s="12257" t="inlineStr">
        <is>
          <t>2026-07-01</t>
        </is>
      </c>
      <c r="B41" s="12258" t="inlineStr">
        <is>
          <t>12:10</t>
        </is>
      </c>
      <c r="C41" s="12258" t="inlineStr">
        <is>
          <t>TEST</t>
        </is>
      </c>
      <c r="D41" s="12259" t="n"/>
      <c r="E41" s="12259" t="n">
        <v>14.8</v>
      </c>
      <c r="F41" s="12259" t="n">
        <v>0.2</v>
      </c>
      <c r="G41" s="12259" t="n">
        <v>5.1</v>
      </c>
      <c r="H41" s="12259" t="n"/>
      <c r="I41" s="12260" t="n">
        <v>0</v>
      </c>
      <c r="J41" s="12261" t="n"/>
      <c r="K41" s="12261" t="n"/>
      <c r="L41" s="12261" t="n"/>
      <c r="M41" s="12259" t="n"/>
      <c r="N41" s="12259" t="n"/>
      <c r="O41" s="12259" t="n">
        <v>12</v>
      </c>
      <c r="P41" s="12262" t="n">
        <v>0.47</v>
      </c>
      <c r="Q41" s="12259" t="n"/>
      <c r="R41" s="12259" t="n">
        <v>81</v>
      </c>
      <c r="S41" s="12259" t="n"/>
      <c r="T41" s="813" t="inlineStr">
        <is>
          <t>Clear, 81F, 77% RH; today high 86F, 0.47in precip (early/later, not midday), UV max 7.9</t>
        </is>
      </c>
      <c r="U41" s="12258" t="inlineStr">
        <is>
          <t>2026-07-01_1.jpg;2026-07-01_2.jpg;2026-07-01_3.jpg</t>
        </is>
      </c>
      <c r="V41" s="813" t="inlineStr">
        <is>
          <t>25mL x0.2. FC 14.8 (in band 13-15, at aim), CC 0.2 (trace). FC loss 5.1 ppm/24h (14.6 + 1.5gal dose - 14.8) - hottest/sunniest day yet (high 86F, ~12 sun hrs). Auto weather bucket said 'rain' from accumulated daily precip, but midday conditions are Clear/sunny (83% sun so far) - overrode to sunny bucket for dosing. PHOTOS(3): water clear+healthy (evening ~7:36PM), clean blue, bottom visible, no algae; a couple leaves floating (cosmetic - skimmer/filter clears). ZOOMED stair close-up (best look yet): normal blue speckled liner on the curved steps + decorative border; only minor debris/shadow in step corners; NO clear iron/rust or manganese stain visible - no progression vs prior days. Ascorbic-acid spot test remains the definitive check.</t>
        </is>
      </c>
      <c r="W41" s="12263" t="n"/>
    </row>
    <row r="42">
      <c r="A42" s="12271" t="inlineStr">
        <is>
          <t>2026-07-01</t>
        </is>
      </c>
      <c r="B42" s="12272" t="inlineStr">
        <is>
          <t>19:30</t>
        </is>
      </c>
      <c r="C42" s="12272" t="inlineStr">
        <is>
          <t>DOSE</t>
        </is>
      </c>
      <c r="D42" s="12273" t="n"/>
      <c r="E42" s="12273" t="n"/>
      <c r="F42" s="12273" t="n"/>
      <c r="G42" s="12273" t="n"/>
      <c r="H42" s="12273" t="n">
        <v>15.1</v>
      </c>
      <c r="I42" s="12274" t="n"/>
      <c r="J42" s="12275" t="n"/>
      <c r="K42" s="12275" t="n"/>
      <c r="L42" s="12275" t="n"/>
      <c r="M42" s="12273" t="n">
        <v>1.5</v>
      </c>
      <c r="N42" s="12273" t="n">
        <v>18</v>
      </c>
      <c r="O42" s="12273" t="n"/>
      <c r="P42" s="12276" t="n"/>
      <c r="Q42" s="12273" t="n"/>
      <c r="R42" s="12273" t="n"/>
      <c r="S42" s="12273" t="n"/>
      <c r="T42" s="827" t="inlineStr">
        <is>
          <t>Hot/sunny, high 86F, UV 7.9</t>
        </is>
      </c>
      <c r="U42" s="12272" t="n"/>
      <c r="V42" s="827" t="inlineStr">
        <is>
          <t>1.5 gal added 7:30 PM (pump running; within the 6:30-9:15 window). Calibrated evening-model rec (L24=5.0, hot &amp; sunny: sun 12h, water 81F); ~ +5.25. Held buffer on the hottest/sunniest day yet per no-skip lesson (daytime calc alone said 0). Season total 18.0 gal.</t>
        </is>
      </c>
      <c r="W42" s="12277" t="n"/>
    </row>
    <row r="43">
      <c r="A43" s="12243" t="inlineStr">
        <is>
          <t>2026-07-02</t>
        </is>
      </c>
      <c r="B43" s="12244" t="inlineStr">
        <is>
          <t>12:30</t>
        </is>
      </c>
      <c r="C43" s="12244" t="inlineStr">
        <is>
          <t>TEST</t>
        </is>
      </c>
      <c r="D43" s="12245" t="n"/>
      <c r="E43" s="12245" t="n">
        <v>17.2</v>
      </c>
      <c r="F43" s="12245" t="n">
        <v>0</v>
      </c>
      <c r="G43" s="12245" t="n">
        <v>2.9</v>
      </c>
      <c r="H43" s="12245" t="n"/>
      <c r="I43" s="12246" t="n">
        <v>2.1</v>
      </c>
      <c r="J43" s="12247" t="n"/>
      <c r="K43" s="12247" t="n"/>
      <c r="L43" s="12247" t="n"/>
      <c r="M43" s="12245" t="n"/>
      <c r="N43" s="12245" t="n"/>
      <c r="O43" s="12245" t="n">
        <v>13.2</v>
      </c>
      <c r="P43" s="12248" t="n">
        <v>0</v>
      </c>
      <c r="Q43" s="12245" t="n"/>
      <c r="R43" s="12245" t="n">
        <v>83</v>
      </c>
      <c r="S43" s="12245" t="n"/>
      <c r="T43" s="624" t="inlineStr">
        <is>
          <t>Clear now, 85F, 83% RH; sun so far 5.4h of 7h daylight (76%); today high 92F, 0.00in precip, UV max 7.9</t>
        </is>
      </c>
      <c r="U43" s="12244" t="n"/>
      <c r="V43" s="624" t="inlineStr">
        <is>
          <t>Pred error unusually large (+2.1) vs last night's 15.1 projection, despite a hot/sunny day where loss should run faster, not slower. John also flagged uncertainty about R-0870 powder dosing (dipper is small, gets crusty) -- but powder amount isn't part of the FAS-DPD titration math, so that's an unlikely source. Worth watching next test to see if this was a one-off read or a real trend.</t>
        </is>
      </c>
      <c r="W43" s="12249" t="n"/>
    </row>
    <row r="44">
      <c r="A44" s="12278" t="inlineStr">
        <is>
          <t>2026-07-02</t>
        </is>
      </c>
      <c r="B44" s="12279" t="inlineStr">
        <is>
          <t>19:45</t>
        </is>
      </c>
      <c r="C44" s="12279" t="inlineStr">
        <is>
          <t>TEST</t>
        </is>
      </c>
      <c r="D44" s="12280" t="n"/>
      <c r="E44" s="12280" t="n">
        <v>15.4</v>
      </c>
      <c r="F44" s="12280" t="n">
        <v>0.4</v>
      </c>
      <c r="G44" s="12280" t="n"/>
      <c r="H44" s="12280" t="n"/>
      <c r="I44" s="12281" t="n"/>
      <c r="J44" s="12282" t="n"/>
      <c r="K44" s="12282" t="n"/>
      <c r="L44" s="12282" t="n"/>
      <c r="M44" s="12280" t="n"/>
      <c r="N44" s="12280" t="n"/>
      <c r="O44" s="12280" t="n"/>
      <c r="P44" s="12283" t="n"/>
      <c r="Q44" s="12280" t="n"/>
      <c r="R44" s="12280" t="n"/>
      <c r="S44" s="12280" t="n">
        <v>11.9</v>
      </c>
      <c r="T44" s="659" t="n"/>
      <c r="U44" s="12279" t="inlineStr">
        <is>
          <t>2026-07-02_1.jpeg;2026-07-02_2.jpeg;2026-07-02_3.jpeg;2026-07-02_4.jpeg</t>
        </is>
      </c>
      <c r="V44" s="659" t="inlineStr">
        <is>
          <t>Evening recheck before dosing, requested for peace-of-mind after noon's unexpectedly high FC (17.2) and the R-0870 dosing question. Decline from noon (17.2 -&gt; 15.4 over ~7.25h, pool shaded after ~6:30PM) tracks a plausible hot/sunny-day afternoon loss -- consistent with noon reading being real, not a fluke. CC ticked up slightly (0.0 -&gt; 0.4), normal for end of a hot/high-use day, still low. FC loss/Pred error left blank on this row -- not a comparable 24h noon-to-noon measurement, would corrupt the loss-rate tracking if filled in via the standard formula. PHOTOS(4): wide pool shots both look clear/healthy, clean blue, no algae; zoomed liner-corner close-up shows normal blue speckled texture, no clear rust/stain progression. New this entry: John mounted a graduated ruler to the skimmer faceplate to start tracking water level -- photo documents the ruler installation, no specific level reading called out yet (nothing invented here; will log a real number once John reports one).</t>
        </is>
      </c>
      <c r="W44" s="12284" t="n"/>
    </row>
    <row r="45">
      <c r="A45" s="12278" t="inlineStr">
        <is>
          <t>2026-07-02</t>
        </is>
      </c>
      <c r="B45" s="12279" t="inlineStr">
        <is>
          <t>20:30</t>
        </is>
      </c>
      <c r="C45" s="12279" t="inlineStr">
        <is>
          <t>DOSE</t>
        </is>
      </c>
      <c r="D45" s="12280" t="n"/>
      <c r="E45" s="12280" t="n"/>
      <c r="F45" s="12280" t="n"/>
      <c r="G45" s="12280" t="n"/>
      <c r="H45" s="12280" t="n">
        <v>15.7</v>
      </c>
      <c r="I45" s="12281" t="n"/>
      <c r="J45" s="12282" t="n"/>
      <c r="K45" s="12282" t="n"/>
      <c r="L45" s="12282" t="n"/>
      <c r="M45" s="12280" t="n">
        <v>1</v>
      </c>
      <c r="N45" s="12280" t="n">
        <v>19</v>
      </c>
      <c r="O45" s="12280" t="n"/>
      <c r="P45" s="12283" t="n"/>
      <c r="Q45" s="12280" t="n"/>
      <c r="R45" s="12280" t="n"/>
      <c r="S45" s="12280" t="n"/>
      <c r="T45" s="659" t="inlineStr">
        <is>
          <t>Hot/sunny, high 92F, water 83F, UV 7.9</t>
        </is>
      </c>
      <c r="U45" s="12279" t="n"/>
      <c r="V45" s="659" t="inlineStr">
        <is>
          <t>1.0 gal added 8:30 PM (pump running; within the 6:30-9:15 window, before 10 PM off). Calibrated evening model off today's NOON FC 17.2 (the model's intended anchor), L24=5.0 (hot &amp; sunny: 13.2 sun hrs, water 83F). Raw 0.80 -&gt; rounded 1.0 gal. Evening recheck (15.4 at 7:45 PM) confirmed the noon 17.2 was a real reading, not a fluke -- NOT used as the dose anchor (would double-count the ~1.8 ppm afternoon loss already reflected in it). Season total 19.0 gal. NOTE: this morning's forward prediction missed high (pred 15.1, actual 17.2, +2.1) -&gt; model may be over-estimating loss on hot/sunny days; if tomorrow also lands above the 15.7 projection, consider trimming CONFIG['evening_l24']['l24_hot_sunny'].</t>
        </is>
      </c>
      <c r="W45" s="12284" t="n"/>
    </row>
    <row r="46">
      <c r="A46" s="12250" t="inlineStr">
        <is>
          <t>2026-07-02</t>
        </is>
      </c>
      <c r="B46" s="12251" t="inlineStr">
        <is>
          <t>night</t>
        </is>
      </c>
      <c r="C46" s="12251" t="inlineStr">
        <is>
          <t>EVENT - Clean</t>
        </is>
      </c>
      <c r="D46" s="12252" t="n"/>
      <c r="E46" s="12252" t="n"/>
      <c r="F46" s="12252" t="n"/>
      <c r="G46" s="12252" t="n"/>
      <c r="H46" s="12252" t="n"/>
      <c r="I46" s="12253" t="n"/>
      <c r="J46" s="12254" t="n"/>
      <c r="K46" s="12254" t="n"/>
      <c r="L46" s="12254" t="n"/>
      <c r="M46" s="12252" t="n"/>
      <c r="N46" s="12252" t="n"/>
      <c r="O46" s="12252" t="n"/>
      <c r="P46" s="12255" t="n"/>
      <c r="Q46" s="12252" t="n"/>
      <c r="R46" s="12252" t="n"/>
      <c r="S46" s="12252" t="n"/>
      <c r="T46" s="631" t="n"/>
      <c r="U46" s="12251" t="n"/>
      <c r="V46" s="631" t="inlineStr">
        <is>
          <t>Magic Eraser (melamine foam) cleaning of the vinyl liner ALL THE WAY AROUND, above the waterline. Reported 2026-07-03 as a likely contributor to the CC creep (0.0 -&gt; 0.4 -&gt; 0.6). Chemistry: melamine is very nitrogen-rich (a triazine triamine, ~66% N), so shed foam micro-particles PLUS the scrubbed-off waterline scum/oils are both nitrogen/organic load that free chlorine converts to chloramines (= combined chlorine). One-time event -&gt; expect CC to fall over the next day or two as FC oxidizes it and the filter clears the bits. Watch: if CC keeps RISING past ~1.0 despite high FC and no more cleaning, look further (this + the floating surface debris are the two benign explanations).</t>
        </is>
      </c>
      <c r="W46" s="12256" t="n"/>
    </row>
    <row r="47">
      <c r="A47" s="12257" t="inlineStr">
        <is>
          <t>2026-07-03</t>
        </is>
      </c>
      <c r="B47" s="12258" t="inlineStr">
        <is>
          <t>12:15</t>
        </is>
      </c>
      <c r="C47" s="12258" t="inlineStr">
        <is>
          <t>TEST</t>
        </is>
      </c>
      <c r="D47" s="12259" t="n"/>
      <c r="E47" s="12259" t="n">
        <v>16.6</v>
      </c>
      <c r="F47" s="12259" t="n">
        <v>0.6</v>
      </c>
      <c r="G47" s="12259" t="n">
        <v>4.1</v>
      </c>
      <c r="H47" s="12259" t="n"/>
      <c r="I47" s="12260" t="n">
        <v>0.9</v>
      </c>
      <c r="J47" s="12261" t="n"/>
      <c r="K47" s="12261" t="n"/>
      <c r="L47" s="12261" t="n"/>
      <c r="M47" s="12259" t="n"/>
      <c r="N47" s="12259" t="n"/>
      <c r="O47" s="12259" t="n">
        <v>13.2</v>
      </c>
      <c r="P47" s="12262" t="n">
        <v>0</v>
      </c>
      <c r="Q47" s="12259" t="n"/>
      <c r="R47" s="12259" t="n">
        <v>84.5</v>
      </c>
      <c r="S47" s="12259" t="n">
        <v>11.8</v>
      </c>
      <c r="T47" s="813" t="inlineStr">
        <is>
          <t>Clear now, 89F, 64% RH; sun so far 6.4h of 7h daylight (92%); today high 94F, 0.00in precip, UV max 7.8</t>
        </is>
      </c>
      <c r="U47" s="12258" t="inlineStr">
        <is>
          <t>2026-07-03_1.jpeg;2026-07-03_2.jpeg;2026-07-03_3.jpeg;2026-07-03_4.jpeg;2026-07-03_5.jpeg</t>
        </is>
      </c>
      <c r="V47" s="813" t="inlineStr">
        <is>
          <t>25mL x0.2. FC 16.6, CC 0.6. (John wrote 'CC=16.6' but that's FC; a 16.6 combined chlorine is implausible -- logged as FC.) FC loss 4.1 ppm/24h = 17.2 (7/2 NOON) + 1.0gal x3.5 - 16.6, computed noon-to-noon; NOT the 2.3 daily_calc.py reported (it used the 7/2 evening recheck 15.4 as baseline -&gt; ~16.5h window, non-comparable). WATCH: CC creeping 0.0 -&gt; 0.4 -&gt; 0.6 over ~24h; still a trace, and higher FC should oxidize it away, but note the direction -- flag if it climbs past ~1.0. Pred error +0.9 (actual 16.6 vs 7/2 dose's 15.7 projection): model over-predicted loss again but by less than 7/2's +2.1 -- two straight hot/sunny days where real loss ran under the L24=5.0 estimate; watch a 3rd before nudging dose.py's l24_hot_sunny down. Water level 11.8 cm (was 11.9 on 7/2; -0.1 within ruler/reading noise, ruler adhesion still iffy). Hot day: high 94F, water 84.5F, ~13 sun hrs.</t>
        </is>
      </c>
      <c r="W47" s="12263" t="n"/>
    </row>
    <row r="48">
      <c r="A48" s="12271" t="inlineStr">
        <is>
          <t>2026-07-03</t>
        </is>
      </c>
      <c r="B48" s="12272" t="inlineStr">
        <is>
          <t>19:45</t>
        </is>
      </c>
      <c r="C48" s="12272" t="inlineStr">
        <is>
          <t>DOSE</t>
        </is>
      </c>
      <c r="D48" s="12273" t="n"/>
      <c r="E48" s="12273" t="n"/>
      <c r="F48" s="12273" t="n"/>
      <c r="G48" s="12273" t="n"/>
      <c r="H48" s="12273" t="n">
        <v>15.1</v>
      </c>
      <c r="I48" s="12274" t="n"/>
      <c r="J48" s="12275" t="n"/>
      <c r="K48" s="12275" t="n"/>
      <c r="L48" s="12275" t="n"/>
      <c r="M48" s="12273" t="n">
        <v>1</v>
      </c>
      <c r="N48" s="12273" t="n">
        <v>20</v>
      </c>
      <c r="O48" s="12273" t="n"/>
      <c r="P48" s="12276" t="n"/>
      <c r="Q48" s="12273" t="n"/>
      <c r="R48" s="12273" t="n"/>
      <c r="S48" s="12273" t="n"/>
      <c r="T48" s="827" t="inlineStr">
        <is>
          <t>Hot/sunny, high 94F, water 84.5F, UV 7.8</t>
        </is>
      </c>
      <c r="U48" s="12272" t="n"/>
      <c r="V48" s="827" t="inlineStr">
        <is>
          <t>1.0 gal added 7:45 PM (pump running; within the 6:30-9:15 window, before 10 PM off). Calibrated evening model off today's noon FC 16.6, L24=5.0 (hot &amp; sunny: 13.2 sun hrs, water 84.5F). Kept the full gallon despite FC already at 16.6 -- the CC creep (0.0-&gt;0.4-&gt;0.6) wants FC held up to oxidize it. Season total 20.0 gal. PHOTOS(5): water clear/healthy blue in all wide shots, bottom fully visible, no cloudiness or algae; liner step close-up shows normal speckled blue, NO rust/stain progression. NOTABLE: one surface shot shows scattered floating debris (small leaves/organic bits) -- likely the source of the CC creep (organic load -&gt; chloramines as FC oxidizes it). Recommend skimming/netting it out; higher FC should clear the CC. Ruler photo documents the 11.8 cm level. Model note: this dose's prediction (15.1) is the forward-validation target for 7/4 noon; if it lands high again (&gt;15.1) that's a 3rd hot-day over-prediction -&gt; nudge l24_hot_sunny toward ~4.5.</t>
        </is>
      </c>
      <c r="W48" s="12277" t="n"/>
    </row>
    <row r="49">
      <c r="A49" s="12243" t="inlineStr">
        <is>
          <t>2026-07-04</t>
        </is>
      </c>
      <c r="B49" s="12244" t="inlineStr">
        <is>
          <t>12:40</t>
        </is>
      </c>
      <c r="C49" s="12244" t="inlineStr">
        <is>
          <t>TEST</t>
        </is>
      </c>
      <c r="D49" s="12245" t="n"/>
      <c r="E49" s="12245" t="n">
        <v>16.8</v>
      </c>
      <c r="F49" s="12245" t="n">
        <v>0.2</v>
      </c>
      <c r="G49" s="12245" t="n">
        <v>3.8</v>
      </c>
      <c r="H49" s="12245" t="n"/>
      <c r="I49" s="12246" t="n">
        <v>1.7</v>
      </c>
      <c r="J49" s="12247" t="n"/>
      <c r="K49" s="12247" t="n"/>
      <c r="L49" s="12247" t="n"/>
      <c r="M49" s="12245" t="n"/>
      <c r="N49" s="12245" t="n"/>
      <c r="O49" s="12245" t="n">
        <v>13</v>
      </c>
      <c r="P49" s="12248" t="n">
        <v>0.87</v>
      </c>
      <c r="Q49" s="12245" t="n"/>
      <c r="R49" s="12245" t="n">
        <v>86</v>
      </c>
      <c r="S49" s="12245" t="n">
        <v>11.65</v>
      </c>
      <c r="T49" s="624" t="inlineStr">
        <is>
          <t>Clear now, 88F, 67% RH; sun so far 6.4h of 7h daylight (91%); today high 90F, 0.87in precip, UV max 7.9</t>
        </is>
      </c>
      <c r="U49" s="12244" t="inlineStr">
        <is>
          <t>2026-07-04_1.jpeg;2026-07-04_2.jpeg;2026-07-04_3.jpeg;2026-07-04_4.jpeg</t>
        </is>
      </c>
      <c r="V49" s="624" t="inlineStr">
        <is>
          <t>25mL x0.2. FC 16.8, CC 0.2. CC CREEP CLEARED: 0.0-&gt;0.4-&gt;0.6-&gt;0.2 -- confirms the benign explanation (floating debris + 7/2 Magic Eraser residue), oxidized away by the high FC. Auto weather bucket said 'rain' (0.87in daily precip, likely the incoming 7/6 system's leading edge) but midday was clearly sunny (91% sun so far) -&gt; overrode to sunny for the loss model. fc_loss 3.3 ppm/24h (16.6 + 1.0gal x3.5 - 16.8), clean noon-to-noon (no recheck yesterday). PREDICTION RESOLVED: pred error +1.7 (actual 16.8 vs 7/3 dose's 15.1) = THIRD straight hot-day over-prediction (+2.1, +0.9, +1.7); the clean case -- landed high DESPITE today's extra CC-clearing demand. Actual hot-day losses ran ~2.9/4.1/3.3 (avg ~3.4), not the modeled 5.0. -&gt; Recalibrated dose.py l24_hot_sunny 5.0-&gt;4.0 (small cushion above the 3.4 mean). Water level 11.65 cm (11.9-&gt;11.8-&gt;11.65: steady slow evaporation decline over 3 hot dry days, ~0.1/day; the 7/6 rain will reverse it). PARTY PREP (Sun 7/5 1PM): recommending only 0.5 gal tonight -- FC already high at 16.8 and tomorrow's cooler/drizzly, so a full gal would overshoot into the high teens (John: don't go overboard). 0.5 gal -&gt; ~15-16 at party = comfortable top-of-band with cushion for bather load, not overboard.</t>
        </is>
      </c>
      <c r="W49" s="12249" t="inlineStr">
        <is>
          <t>quiet</t>
        </is>
      </c>
    </row>
    <row r="50">
      <c r="A50" s="12250" t="inlineStr">
        <is>
          <t>2026-07-04</t>
        </is>
      </c>
      <c r="B50" s="12251" t="inlineStr">
        <is>
          <t>19:40</t>
        </is>
      </c>
      <c r="C50" s="12251" t="inlineStr">
        <is>
          <t>DOSE</t>
        </is>
      </c>
      <c r="D50" s="12252" t="n"/>
      <c r="E50" s="12252" t="n"/>
      <c r="F50" s="12252" t="n"/>
      <c r="G50" s="12252" t="n"/>
      <c r="H50" s="12252" t="n">
        <v>14.6</v>
      </c>
      <c r="I50" s="12253" t="n"/>
      <c r="J50" s="12254" t="n"/>
      <c r="K50" s="12254" t="n"/>
      <c r="L50" s="12254" t="n"/>
      <c r="M50" s="12252" t="n">
        <v>0.5</v>
      </c>
      <c r="N50" s="12252" t="n">
        <v>20.5</v>
      </c>
      <c r="O50" s="12252" t="n"/>
      <c r="P50" s="12255" t="n"/>
      <c r="Q50" s="12252" t="n"/>
      <c r="R50" s="12252" t="n"/>
      <c r="S50" s="12252" t="n"/>
      <c r="T50" s="631" t="inlineStr">
        <is>
          <t>Hot/sunny day (high 90F, water 86F); storm forecast overnight</t>
        </is>
      </c>
      <c r="U50" s="12251" t="n"/>
      <c r="V50" s="631" t="inlineStr">
        <is>
          <t>0.5 gal added 7:40 PM. PARTY PRE-LOAD (Sun 7/5 1PM picnic): deliberately HALF the usual dose -- FC already high at 16.8, and John didn't want to overshoot into the high teens for guests. Sized on the retuned model (l24_hot_sunny now 4.0). Model projects ~14.6 next noon, BUT this is a known weather-mismatch case: model keys L24 off today's hot/sunny weather, while the actual loss window is a storm overnight (no UV) + cooler/cloudy Sun morning -&gt; real loss will be LOWER, so FC likely lands ~15-16 at the party (comfortable top-of-band, cushion for bather load, not overboard). =&gt; If tomorrow's noon comes in ABOVE 14.6, that's the weather mismatch, NOT the freshly-retuned constant; don't chase it. Plan: dose back up Sun evening after the crowd's out (expect a bather-load FC drop). Season total 20.5 gal. PHOTOS(4): water clear/healthy blue, bottom fully visible, no cloudiness/algae; yesterday's surface debris now gone (tracks with CC clearing to 0.2); liner step close-up normal speckled blue, no rust/stain progression. Ruler photo documents the ~11.65 cm level.</t>
        </is>
      </c>
      <c r="W50" s="12256" t="n"/>
    </row>
    <row r="51">
      <c r="A51" s="12257" t="inlineStr">
        <is>
          <t>2026-07-05</t>
        </is>
      </c>
      <c r="B51" s="12258" t="inlineStr">
        <is>
          <t>07:45</t>
        </is>
      </c>
      <c r="C51" s="12258" t="inlineStr">
        <is>
          <t>TEST</t>
        </is>
      </c>
      <c r="D51" s="12259" t="n"/>
      <c r="E51" s="12259" t="n">
        <v>16</v>
      </c>
      <c r="F51" s="12259" t="n">
        <v>0.5</v>
      </c>
      <c r="G51" s="12259" t="n">
        <v>2.5</v>
      </c>
      <c r="H51" s="12259" t="n"/>
      <c r="I51" s="12260" t="n">
        <v>1.4</v>
      </c>
      <c r="J51" s="12261" t="n"/>
      <c r="K51" s="12261" t="n"/>
      <c r="L51" s="12261" t="n"/>
      <c r="M51" s="12259" t="n"/>
      <c r="N51" s="12259" t="n"/>
      <c r="O51" s="12259" t="n"/>
      <c r="P51" s="12262" t="n">
        <v>0.04</v>
      </c>
      <c r="Q51" s="12259" t="n"/>
      <c r="R51" s="12259" t="n">
        <v>84</v>
      </c>
      <c r="S51" s="12259" t="n">
        <v>13.9</v>
      </c>
      <c r="T51" s="813" t="inlineStr">
        <is>
          <t>Overcast now, 75F, 90% RH; sun so far 0.0h of 3h daylight (0%); today high 75F, 0.04in precip, UV max 6.5</t>
        </is>
      </c>
      <c r="U51" s="12258" t="inlineStr">
        <is>
          <t>2026-07-05_2.jpeg</t>
        </is>
      </c>
      <c r="V51" s="813" t="inlineStr">
        <is>
          <t>25mL x0.2. Early test (7:45 AM, party day 1PM, John busy) -- off the usual noon cadence, fine. PARTY CALL: FC 16.0 is great; NO morning top-up needed (plan only called for one 'if FC slipped' -- it didn't). Cloudy/cool day (75F, 0 sun) means it'll hold through the party. WEATHER-MISMATCH CONFIRMED (as flagged on last night's dose): 7/4 dose predicted 14.6 for today assuming hot/sunny loss, but today is overcast/cool -&gt; FC ran high at 16.0 (pred error +1.4). This is the weather mismatch, NOT the freshly-retuned l24_hot_sunny=4.0; the constant still gets validated by future clean HOT-day noon readings (mid-week, after Mon rain). fc_loss left blank: off-cadence (~19h not 24h), 0.5gal dose in between, plus rain dilution -&gt; non-comparable. WATER LEVEL 11.65 -&gt; 13.9 (+2.25 cm) from the overnight storm (~0.9in rain, ~445 gal) -- ruler tracked the storm perfectly. CC ticked 0.2 -&gt; 0.5 (rain-driven organic/N load washed in by the storm; still a trace, high FC clears it -- not a party concern). Water temp 86 -&gt; 84 (cool front). NOTE: the BIG rain is still Mon 7/6 (~5.7in) -&gt; watch for overflow then, possible backwash-down after (bonus CYA lowering).</t>
        </is>
      </c>
      <c r="W51" s="12263" t="inlineStr">
        <is>
          <t>quiet</t>
        </is>
      </c>
    </row>
    <row r="52">
      <c r="A52" s="12264" t="inlineStr">
        <is>
          <t>2026-07-05</t>
        </is>
      </c>
      <c r="B52" s="12265" t="inlineStr">
        <is>
          <t>18:30</t>
        </is>
      </c>
      <c r="C52" s="12265" t="inlineStr">
        <is>
          <t>TEST</t>
        </is>
      </c>
      <c r="D52" s="12266" t="n"/>
      <c r="E52" s="12266" t="n">
        <v>14.8</v>
      </c>
      <c r="F52" s="12266" t="n">
        <v>0.3</v>
      </c>
      <c r="G52" s="12266" t="n"/>
      <c r="H52" s="12266" t="n"/>
      <c r="I52" s="12267" t="n"/>
      <c r="J52" s="12268" t="n"/>
      <c r="K52" s="12268" t="n"/>
      <c r="L52" s="12268" t="n"/>
      <c r="M52" s="12266" t="n"/>
      <c r="N52" s="12266" t="n"/>
      <c r="O52" s="12266" t="n"/>
      <c r="P52" s="12269" t="n"/>
      <c r="Q52" s="12266" t="n"/>
      <c r="R52" s="12266" t="n"/>
      <c r="S52" s="12266" t="n">
        <v>13.6</v>
      </c>
      <c r="T52" s="820" t="inlineStr">
        <is>
          <t>Overcast now, 72F, 76% RH; sun so far 8.4h of 13h daylight (65%); today high 80F, 0.00in precip, UV max 6.0</t>
        </is>
      </c>
      <c r="U52" s="12265" t="inlineStr">
        <is>
          <t>2026-07-05_1.jpeg;2026-07-05_3.jpeg</t>
        </is>
      </c>
      <c r="V52" s="820" t="inlineStr">
        <is>
          <t>Post-party evening test (2nd test of the day; morning 7:45AM was 16.0). PARTY OUTCOME -- EXCELLENT: FC 16.0(AM) -&gt; 14.8(now), only -1.2 ppm across the whole party (landed right at aim 15); CC 0.5 -&gt; 0.3, i.e. CC DROPPED even after a crowd -- the high FC oxidized bather-load chloramines faster than they formed. The pre-load-modestly strategy worked perfectly (didn't overshoot, didn't crash). PHOTOS(2): wide shot shows crystal-clear water, bottom fully visible, no cloudiness/debris/algae -- pool sailed through. Evening dose recommended 0.5 gal, sized on TOMORROW's rainy forecast (the real loss window: wet/overcast 7/6, ~0.9in rain, low UV) rather than today's sun -&gt; projects ~15.1 at Mon noon. (Day actually cleared to 8.4 sun hrs vs the overcast 7:45AM read.) fc_loss/pred_error blank: off-cadence 2nd test; the 7/4 dose's prediction was already scored against this morning's reading. No water level/temp reported this eve -- ruler photo taken (2026-07-05_2) but no number given; will log if John reads it off.</t>
        </is>
      </c>
      <c r="W52" s="12270" t="n"/>
    </row>
    <row r="53">
      <c r="A53" s="12271" t="inlineStr">
        <is>
          <t>2026-07-05</t>
        </is>
      </c>
      <c r="B53" s="12272" t="inlineStr">
        <is>
          <t>19:25</t>
        </is>
      </c>
      <c r="C53" s="12272" t="inlineStr">
        <is>
          <t>DOSE</t>
        </is>
      </c>
      <c r="D53" s="12273" t="n"/>
      <c r="E53" s="12273" t="n"/>
      <c r="F53" s="12273" t="n"/>
      <c r="G53" s="12273" t="n"/>
      <c r="H53" s="12273" t="n">
        <v>15.1</v>
      </c>
      <c r="I53" s="12274" t="n"/>
      <c r="J53" s="12275" t="n"/>
      <c r="K53" s="12275" t="n"/>
      <c r="L53" s="12275" t="n"/>
      <c r="M53" s="12273" t="n">
        <v>0.5</v>
      </c>
      <c r="N53" s="12273" t="n">
        <v>21</v>
      </c>
      <c r="O53" s="12273" t="n"/>
      <c r="P53" s="12276" t="n"/>
      <c r="Q53" s="12273" t="n"/>
      <c r="R53" s="12273" t="n"/>
      <c r="S53" s="12273" t="n"/>
      <c r="T53" s="827" t="inlineStr">
        <is>
          <t>Cleared to partly sunny (8.4 sun hrs, high 80F, water 84F); all-day rain forecast Mon 7/6</t>
        </is>
      </c>
      <c r="U53" s="12272" t="n"/>
      <c r="V53" s="827" t="inlineStr">
        <is>
          <t>0.5 gal added 7:25 PM (post-party recovery dose). Sized on TOMORROW's rainy forecast (the real loss window: overcast/wet 7/6, ~0.9in rain, low UV) not today's sun -&gt; projects ~15.1 at Mon noon. Party went great (FC held 16.0-&gt;14.8, CC dropped 0.5-&gt;0.3). Season total 21.0 gal. This is the first prediction that deliberately used the next-day forecast for L24 instead of the model's default (today's weather as proxy) -- if it lands near 15.1 tomorrow, that validates feeding the forecast on weather-change days.</t>
        </is>
      </c>
      <c r="W53" s="12277" t="n"/>
    </row>
    <row r="54">
      <c r="A54" s="12243" t="inlineStr">
        <is>
          <t>2026-07-06</t>
        </is>
      </c>
      <c r="B54" s="12244" t="inlineStr">
        <is>
          <t>11:40</t>
        </is>
      </c>
      <c r="C54" s="12244" t="inlineStr">
        <is>
          <t>TEST</t>
        </is>
      </c>
      <c r="D54" s="12245" t="n"/>
      <c r="E54" s="12245" t="n">
        <v>13.8</v>
      </c>
      <c r="F54" s="12245" t="n">
        <v>0.2</v>
      </c>
      <c r="G54" s="12245" t="n">
        <v>4</v>
      </c>
      <c r="H54" s="12245" t="n"/>
      <c r="I54" s="12246" t="n">
        <v>-1.3</v>
      </c>
      <c r="J54" s="12247" t="n"/>
      <c r="K54" s="12247" t="n"/>
      <c r="L54" s="12247" t="n"/>
      <c r="M54" s="12245" t="n"/>
      <c r="N54" s="12245" t="n"/>
      <c r="O54" s="12245" t="n">
        <v>0</v>
      </c>
      <c r="P54" s="12248" t="n">
        <v>2</v>
      </c>
      <c r="Q54" s="12245" t="n"/>
      <c r="R54" s="12245" t="n">
        <v>81</v>
      </c>
      <c r="S54" s="12245" t="n">
        <v>15.1</v>
      </c>
      <c r="T54" s="624" t="inlineStr">
        <is>
          <t>Light rain now, 65F, 93% RH; sun so far 0.0h of 6h daylight (0%); today high 68F, 2.00in precip, UV max 0.5</t>
        </is>
      </c>
      <c r="U54" s="12244" t="inlineStr">
        <is>
          <t>2026-07-06_1.jpeg</t>
        </is>
      </c>
      <c r="V54" s="624" t="inlineStr">
        <is>
          <t>25mL x0.2. FC 13.8, CC 0.2 -- in band, healthy. [CORRECTED same day: earlier note wrongly said OVERFLOWING -- it is NOT. Pool has 6+ in of freeboard. The weather feed 2.00in is the DAY forecast total, not fallen-yet; only ~0.6in has actually fallen this AM, which matches the 0.6in / 1.5cm level rise 13.6-&gt;15.1. No water over the edge.] FIRST NEGATIVE prediction error (-1.3): actual 13.8 vs the 7/5 dose 15.1 (rain bucket L24=1.5) -&gt; model UNDER-estimated loss. Likely cause: STORM since last night (not calm rain) washes organic load in (debris/runoff/nitrogen) that consumes FC -- real loss ~2.75 from the post-dose ~16.5 vs the calm-rain 1.5 estimate. Dilution only a minor part (~0.15 ppm from 0.6in add). The rain bucket is tuned for drizzle, not a storm; FIRST storm forward point -&gt; note storms lose more, but do NOT retune off one point. CYA: modest rain dilution (~0.9%) nudges it down ~1-2 ppm (NOT the big overflow-driven drop I wrongly claimed). fc_loss BLANK: off-cadence prior test (7/5 had AM+PM) + dilution -&gt; not a clean noon-to-noon value. Level 15.1 (well below overflow). Water temp 81. DOSE REC revised: a modest 0.5 gal tonight is reasonable -- the storm is actively eating FC and there is no overflow to waste it, so hold the buffer above floor; keep it small (John was low on TEST REAGENTS (arrived 7/6), NOT chlorine -- corrected).</t>
        </is>
      </c>
      <c r="W54" s="12249" t="inlineStr">
        <is>
          <t>party</t>
        </is>
      </c>
    </row>
    <row r="55">
      <c r="A55" s="12278" t="inlineStr">
        <is>
          <t>2026-07-06</t>
        </is>
      </c>
      <c r="B55" s="12279" t="inlineStr">
        <is>
          <t>19:15</t>
        </is>
      </c>
      <c r="C55" s="12279" t="inlineStr">
        <is>
          <t>EVENT - Waste</t>
        </is>
      </c>
      <c r="D55" s="12280" t="n"/>
      <c r="E55" s="12280" t="n"/>
      <c r="F55" s="12280" t="n"/>
      <c r="G55" s="12280" t="n"/>
      <c r="H55" s="12280" t="n"/>
      <c r="I55" s="12281" t="n"/>
      <c r="J55" s="12282" t="n"/>
      <c r="K55" s="12282" t="n"/>
      <c r="L55" s="12282" t="n"/>
      <c r="M55" s="12280" t="n"/>
      <c r="N55" s="12280" t="n"/>
      <c r="O55" s="12280" t="n"/>
      <c r="P55" s="12283" t="n"/>
      <c r="Q55" s="12280" t="n"/>
      <c r="R55" s="12280" t="n"/>
      <c r="S55" s="12280" t="n"/>
      <c r="T55" s="659" t="n"/>
      <c r="U55" s="12279" t="inlineStr">
        <is>
          <t>2026-07-06_2.jpeg;2026-07-06_3.jpeg</t>
        </is>
      </c>
      <c r="V55" s="659" t="inlineStr">
        <is>
          <t>Pumped to WASTE (multiport waste port, bypassing the D.E. filter) to lower the storm-raised level. The all-day rain had pushed the water ABOVE the ruler top (~16-17 cm, off-scale); pumped it back down to a readable 15.1 cm. Ran the pump while it was still raining -- pump-out (~50 GPM = ~3000 gal/hr) hugely outpaces rain-in (~100-300 gal/hr), so the level dropped steadily despite the rain. ESTIMATED WATER REMOVED ~2,000 gal (VERY ROUGH -- from oblique ruler/liner photos 2026-07-06_2/_3; drop from ~top-of-blue-liner high point down to 15.1 looks like ~4 in, x ~500 gal/in; could easily be 1,500-3,000. Pump-runtime x ~50 GPM would pin it better -- John didn't report the minutes). Consistent with the passive CYA-lowering plan: removes some high-CYA pool water, and rain is refilling it (no well stress). More rain forecast Tue 7/7 -&gt; may need to repeat; drew it toward the low end to leave headroom.</t>
        </is>
      </c>
      <c r="W55" s="12284" t="n"/>
    </row>
    <row r="56">
      <c r="A56" s="12250" t="inlineStr">
        <is>
          <t>2026-07-06</t>
        </is>
      </c>
      <c r="B56" s="12251" t="inlineStr">
        <is>
          <t>19:30</t>
        </is>
      </c>
      <c r="C56" s="12251" t="inlineStr">
        <is>
          <t>DOSE</t>
        </is>
      </c>
      <c r="D56" s="12252" t="n"/>
      <c r="E56" s="12252" t="n"/>
      <c r="F56" s="12252" t="n"/>
      <c r="G56" s="12252" t="n"/>
      <c r="H56" s="12252" t="n">
        <v>14</v>
      </c>
      <c r="I56" s="12253" t="n"/>
      <c r="J56" s="12254" t="n"/>
      <c r="K56" s="12254" t="n"/>
      <c r="L56" s="12254" t="n"/>
      <c r="M56" s="12252" t="n">
        <v>1</v>
      </c>
      <c r="N56" s="12252" t="n">
        <v>22</v>
      </c>
      <c r="O56" s="12252" t="n"/>
      <c r="P56" s="12255" t="n"/>
      <c r="Q56" s="12252" t="n"/>
      <c r="R56" s="12252" t="n"/>
      <c r="S56" s="12252" t="n"/>
      <c r="T56" s="631" t="inlineStr">
        <is>
          <t>Rain all day (2.00in total), overcast, 65-68F; more rain Tue</t>
        </is>
      </c>
      <c r="U56" s="12251" t="n"/>
      <c r="V56" s="631" t="inlineStr">
        <is>
          <t>1.0 gal added 7:30 PM, AFTER the pump-to-waste (correct order -- don't chlorinate water you're about to pump out). FIRST dose on the recalibrated buckets (rain L24 now 2.5 vs old 1.5). CORRECTION carried in: John is NOT low on chlorine -- he was low on TEST REAGENTS, which arrived today -- so this is the full 1 gal (not the 0.5 I'd wrongly trimmed for 'conservation'). Base FC ~13 est (noon 13.8 minus the bit of FC removed by the pump-out; not re-tested), + 1gal x3.5 - 2.5 rain loss -&gt; pred ~14.0 at Tue noon. Prediction is confounded this round (pump perturbation + no post-empty FC test) -&gt; tomorrow's error will be noisy, don't read too much into it for bucket validation. Season total 22.0 gal.</t>
        </is>
      </c>
      <c r="W56" s="12256" t="n"/>
    </row>
    <row r="57">
      <c r="A57" s="12257" t="inlineStr">
        <is>
          <t>2026-07-07</t>
        </is>
      </c>
      <c r="B57" s="12258" t="inlineStr">
        <is>
          <t>11:50</t>
        </is>
      </c>
      <c r="C57" s="12258" t="inlineStr">
        <is>
          <t>TEST</t>
        </is>
      </c>
      <c r="D57" s="12259" t="n"/>
      <c r="E57" s="12259" t="n">
        <v>14.6</v>
      </c>
      <c r="F57" s="12259" t="n">
        <v>0.8</v>
      </c>
      <c r="G57" s="12259" t="n">
        <v>3</v>
      </c>
      <c r="H57" s="12259" t="n"/>
      <c r="I57" s="12260" t="n">
        <v>0.6</v>
      </c>
      <c r="J57" s="12261" t="n"/>
      <c r="K57" s="12261" t="n"/>
      <c r="L57" s="12261" t="n"/>
      <c r="M57" s="12259" t="n"/>
      <c r="N57" s="12259" t="n"/>
      <c r="O57" s="12259" t="n">
        <v>0</v>
      </c>
      <c r="P57" s="12262" t="n"/>
      <c r="Q57" s="12259" t="n"/>
      <c r="R57" s="12259" t="n">
        <v>76</v>
      </c>
      <c r="S57" s="12259" t="n">
        <v>15.5</v>
      </c>
      <c r="T57" s="813" t="inlineStr">
        <is>
          <t>Overcast now, 66F, 91% RH; sun so far 0.0h of 6h daylight (0%); today high 69F, 0.00in precip, UV max 1.4</t>
        </is>
      </c>
      <c r="U57" s="12258" t="inlineStr">
        <is>
          <t>2026-07-07_1.jpeg</t>
        </is>
      </c>
      <c r="V57" s="813" t="inlineStr">
        <is>
          <t>25mL x0.2. FC 14.6, CC 0.8 -- in band, healthy (FC/CYA 9.7%, comfortably above the ~7.5% min). PREDICTION: pred error +0.6 (actual 14.6 vs 7/6 dose's 14.0) -- FIRST noon on the recalibrated rain bucket (L24 2.5, up from old 1.5). Small miss, lost slightly LESS than modeled. CONFOUNDED though: yesterday's pump-to-waste removed chlorinated water + rain dilution, and the dose base FC was ESTIMATED ~13 (not re-tested post-empty) -- so do NOT retune off this single point. Directionally encouraging vs 7/6's -1.3 on the old 1.5 bucket (narrowing moved the rainy-day error from -1.3 toward 0). CC UP 0.2 -&gt; 0.8: two days of storm runoff washing organic/N load in (same mechanism as the 7/5 0.2-&gt;0.5 tick). 0.8 is above the 0.5 flag but still a trace; FC 14.6 is plenty to oxidize it -- expect it to clear over the next day or two now the rain has stopped. WATCH: if CC climbs toward 1.0+ or FC can't knock it down, revisit. fc_loss BLANK: noon-to-noon confounded by the pump-to-waste + 1gal dose + rain dilution -- not a clean value. Water temp 76 continues the cold-front slide (86-&gt;84-&gt;81-&gt;76); will rebound when sun returns. Level 15.5 cm (+0.4 vs yesterday's post-pump 15.1 -- overnight storm tail); rain has now STOPPED (feed 0.00in today) so the level should hold / slowly evaporate down -- no pump needed. rain_in left blank: trace overnight rise but no measurable daytime rain and the day isn't over. PHOTO documents the 15.5 level (tight ruler crop; water clear where visible, no debris).</t>
        </is>
      </c>
      <c r="W57" s="12263" t="inlineStr">
        <is>
          <t>quiet</t>
        </is>
      </c>
    </row>
    <row r="58">
      <c r="A58" s="12271" t="inlineStr">
        <is>
          <t>2026-07-07</t>
        </is>
      </c>
      <c r="B58" s="12272" t="inlineStr">
        <is>
          <t>18:30</t>
        </is>
      </c>
      <c r="C58" s="12272" t="inlineStr">
        <is>
          <t>DOSE</t>
        </is>
      </c>
      <c r="D58" s="12273" t="n"/>
      <c r="E58" s="12273" t="n"/>
      <c r="F58" s="12273" t="n"/>
      <c r="G58" s="12273" t="n"/>
      <c r="H58" s="12273" t="n">
        <v>17.4</v>
      </c>
      <c r="I58" s="12274" t="n"/>
      <c r="J58" s="12275" t="n"/>
      <c r="K58" s="12275" t="n"/>
      <c r="L58" s="12275" t="n"/>
      <c r="M58" s="12273" t="n">
        <v>1.5</v>
      </c>
      <c r="N58" s="12273" t="n">
        <v>23.5</v>
      </c>
      <c r="O58" s="12273" t="n"/>
      <c r="P58" s="12276" t="n"/>
      <c r="Q58" s="12273" t="n"/>
      <c r="R58" s="12273" t="n"/>
      <c r="S58" s="12273" t="n"/>
      <c r="T58" s="827" t="inlineStr">
        <is>
          <t>Overcast/cool at dose (66-70F, 0 sun today); forecast flips to full sun Wed 7/8 (13.5 sun-hrs, 78F, UV 7.8) then sunny Thu 7/9 (82F)</t>
        </is>
      </c>
      <c r="U58" s="12272" t="n"/>
      <c r="V58" s="827" t="inlineStr">
        <is>
          <t>1.5 gal added 6:30 PM. DELIBERATE PRE-LOAD for John's away-day: he can't dose Wed 7/8 evening (away until very late), and the forecast flips to FULL SUN Wed (13.5 sun-hrs, 78F, UV 7.8) + sunny Thu -- a 2-day high-loss coast with no evening top-up. Sized 1.5 (vs the ~1.0 a normal day would call for) to keep FC safely above the 10.5 floor across both sunny days. PROJECTION: ~17.3 at Wed noon (this leg is mostly overnight + a sunny Wed morning, L24~2.5), then the full sunny Wed day pulls it to ~13.5-14 at Thu 7/9 noon when John rechecks + resumes dosing -- comfortable margin above floor throughout. Peak tonight ~19 (harmless at CYA 150; shock is 40+, and nobody swims Wed). CC ANGLE: high FC + Wed's strong UV should finish oxidizing the 0.8 CC -- watch Wed noon test for it dropping. PREDICTION NOTE: John CAN still test Wed noon, so this dose gets scored cleanly one-noon-out (~17.3 target) despite the skipped evening dose; the further 2-day coast to Thu is tracked separately (noisier). Level high (15.5) but Wed's sun evaporates it down; no rain till a light 0.2in Thu -&gt; nothing to pump while away. Season total 23.5 gal.</t>
        </is>
      </c>
      <c r="W58" s="12277" t="n"/>
    </row>
    <row r="59">
      <c r="A59" s="12285" t="inlineStr">
        <is>
          <t>2026-07-08</t>
        </is>
      </c>
      <c r="B59" s="12286" t="inlineStr">
        <is>
          <t>11:45</t>
        </is>
      </c>
      <c r="C59" s="12286" t="inlineStr">
        <is>
          <t>TEST</t>
        </is>
      </c>
      <c r="D59" s="12287" t="n"/>
      <c r="E59" s="12287" t="n">
        <v>18</v>
      </c>
      <c r="F59" s="12287" t="n">
        <v>0.3</v>
      </c>
      <c r="G59" s="12287" t="n">
        <v>2.4</v>
      </c>
      <c r="H59" s="12287" t="n"/>
      <c r="I59" s="12288" t="n">
        <v>0.6</v>
      </c>
      <c r="J59" s="12289" t="n"/>
      <c r="K59" s="12289" t="n"/>
      <c r="L59" s="12289" t="n"/>
      <c r="M59" s="12287" t="n"/>
      <c r="N59" s="12287" t="n"/>
      <c r="O59" s="12287" t="n">
        <v>6.4</v>
      </c>
      <c r="P59" s="12290" t="n">
        <v>0</v>
      </c>
      <c r="Q59" s="12287" t="n"/>
      <c r="R59" s="12287" t="n">
        <v>76</v>
      </c>
      <c r="S59" s="12287" t="n">
        <v>15</v>
      </c>
      <c r="T59" s="1047" t="inlineStr">
        <is>
          <t>Clear now, 76F, 65% RH; sun so far 6.4h of 7h daylight (91%); today high 78F, 0.00in precip, UV max 7.8</t>
        </is>
      </c>
      <c r="U59" s="12286" t="inlineStr">
        <is>
          <t>2026-07-08_1.jpeg</t>
        </is>
      </c>
      <c r="V59" s="1047" t="inlineStr">
        <is>
          <t>25mL x0.2. FC 18.0, CC 0.3 -- PREDICTION VALIDATED: pred error +0.6 (actual 18.0 vs 7/7 dose's 17.4). Clean one-noon score on the 1.5gal away-day pre-load; model landed within 0.6. CC CLEARED as forecast: 0.8 -&gt; 0.3 -- yesterday's storm-load combined chlorine oxidized away by the high FC + today's strong UV (sun 6.4h by noon, UV 7.8), exactly the CC-clearing call. fc_loss 1.85 ppm/24h (14.6 + 1.5gal x3.5 - 18.0): CLEAN noon-to-noon (single evening dose, no pump/dilution -- level dropped 15.5-&gt;15.0 by evaporation, so no dilution). sun_hrs 6.4 here = the LOSS-WINDOW sun (overcast 7/7 afternoon ~0h + sunny 7/8 morning 6.4h), NOT 7/8's full calendar day (~13.5): logged that way so the loss-vs-sun scatter pairs honestly, since the window straddled the overcast-&gt;sunny flip. The (6.4 sun, 1.85 loss) point fits the low-slope recalibration (baseline ~1.5 + ~0.08/sun-hr). AWAY DAY: John tested at 11:45 but is out until very late -&gt; NO evening dose today (planned skip). Coast projection: FC 18.0 draws down through the rest of today's sun + overnight -&gt; ~14-14.5 at Thu 7/9 noon (sunny-day loss ~3.5-4), comfortably top-of-band; resume normal dosing Thu eve. Level 15.0 (down 0.5 via sun; no rain today, only a light 0.2in Thu) -&gt; nothing to pump while away. Water temp 76 (cool front holding; today's sun may nudge it up). PHOTO: skimmer-ruler shot documents the 15.0 level (water surface at ~15 on the tape); water clear where visible, no debris.</t>
        </is>
      </c>
      <c r="W59" s="12291" t="inlineStr">
        <is>
          <t>quiet</t>
        </is>
      </c>
    </row>
    <row r="60">
      <c r="A60" s="12257" t="inlineStr">
        <is>
          <t>2026-07-09</t>
        </is>
      </c>
      <c r="B60" s="12258" t="inlineStr">
        <is>
          <t>12:20</t>
        </is>
      </c>
      <c r="C60" s="12258" t="inlineStr">
        <is>
          <t>TEST</t>
        </is>
      </c>
      <c r="D60" s="12259" t="n"/>
      <c r="E60" s="12259" t="n">
        <v>14.4</v>
      </c>
      <c r="F60" s="12259" t="n">
        <v>0.2</v>
      </c>
      <c r="G60" s="12259" t="n">
        <v>3.6</v>
      </c>
      <c r="H60" s="12259" t="n"/>
      <c r="I60" s="12260" t="n"/>
      <c r="J60" s="12261" t="n"/>
      <c r="K60" s="12261" t="n"/>
      <c r="L60" s="12261" t="n"/>
      <c r="M60" s="12259" t="n"/>
      <c r="N60" s="12259" t="n"/>
      <c r="O60" s="12259" t="n">
        <v>13</v>
      </c>
      <c r="P60" s="12262" t="n">
        <v>0</v>
      </c>
      <c r="Q60" s="12259" t="n"/>
      <c r="R60" s="12259" t="n">
        <v>79</v>
      </c>
      <c r="S60" s="12259" t="n">
        <v>14.7</v>
      </c>
      <c r="T60" s="813" t="inlineStr">
        <is>
          <t>Clear now, 80F, 76% RH; sun so far 5.9h of 7h daylight (84%); today high 81F, 0.36in precip, UV max 7.8</t>
        </is>
      </c>
      <c r="U60" s="12258" t="inlineStr">
        <is>
          <t>2026-07-09_1.jpeg;2026-07-09_2.jpeg;2026-07-09_3.jpeg;2026-07-09_4.jpeg;2026-07-09_5.jpeg</t>
        </is>
      </c>
      <c r="V60" s="813" t="inlineStr">
        <is>
          <t>25mL x0.2. FC 14.4, CC 0.2 -- clean, healthy; back to normal cadence after the away day. AWAY-DAY COAST NAILED IT: FC 14.4 landed dead-center in the ~14-14.5 projection for the 2-day coast off the 1.5gal Tue-eve pre-load (dosed Tue eve -&gt; skipped Wed eve while away -&gt; today). CC fully cleared (0.8 -&gt; 0.3 -&gt; 0.2) with the sun + high FC, exactly as forecast. fc_loss 3.6 ppm/24h (18.0 Wed noon - 14.4 today, NO dose between -- CLEAN noon-to-noon; no pump, level dropped 15.0-&gt;14.7 by evaporation so no dilution). Valuable clean HOT-SUNNY point: ~13 sun-hr window (sunny Wed PM + sunny Thu AM), water ~77-79, lost 3.6 -- validates the l24_sunny bucket (3.5) almost exactly. Recalibration holding (recent clean points: 6.4 sun -&gt;1.85; 13 sun -&gt;3.6). sun_hrs 13.0 = loss-window sun (Wed noon-&gt;Thu noon), not one calendar day. Water temp 79 rebounding (76-&gt;79 as the cold front cleared, sun back). Level 14.7 (down 0.3 via evaporation; comfortable, no pump; a PM shower possible per 0.36in forecast but nothing fallen by test time). PHOTOS(5): 2 ruler shots document 14.7; wide shot crystal-clear, bottom + steps fully visible, no cloudiness/algae; liner-step close-up normal speckled blue (no stains); deck shot clear with minor surface debris (skimmer will clear). CYA recheck now due-ish (last anchor 6/24, ~2 wks; rain cleared, reagents in hand) -- worth running in the next day or two.</t>
        </is>
      </c>
      <c r="W60" s="12263" t="inlineStr">
        <is>
          <t>quiet</t>
        </is>
      </c>
    </row>
    <row r="61">
      <c r="A61" s="12271" t="inlineStr">
        <is>
          <t>2026-07-09</t>
        </is>
      </c>
      <c r="B61" s="12272" t="inlineStr">
        <is>
          <t>19:00</t>
        </is>
      </c>
      <c r="C61" s="12272" t="inlineStr">
        <is>
          <t>DOSE</t>
        </is>
      </c>
      <c r="D61" s="12273" t="n"/>
      <c r="E61" s="12273" t="n"/>
      <c r="F61" s="12273" t="n"/>
      <c r="G61" s="12273" t="n"/>
      <c r="H61" s="12273" t="n">
        <v>14.4</v>
      </c>
      <c r="I61" s="12274" t="n"/>
      <c r="J61" s="12275" t="n"/>
      <c r="K61" s="12275" t="n"/>
      <c r="L61" s="12275" t="n"/>
      <c r="M61" s="12273" t="n">
        <v>1</v>
      </c>
      <c r="N61" s="12273" t="n">
        <v>24.5</v>
      </c>
      <c r="O61" s="12273" t="n"/>
      <c r="P61" s="12276" t="n"/>
      <c r="Q61" s="12273" t="n"/>
      <c r="R61" s="12273" t="n"/>
      <c r="S61" s="12273" t="n"/>
      <c r="T61" s="827" t="inlineStr">
        <is>
          <t>Hot/sunny day (high 81F, water ~79-80); sunny Fri 7/10 forecast (~85F)</t>
        </is>
      </c>
      <c r="U61" s="12272" t="n"/>
      <c r="V61" s="827" t="inlineStr">
        <is>
          <t>1.0 gal added 7:00 PM. Normal cadence resumes after the away-day skip (no Wed eve dose). FC 14.4 at noon + 1gal x3.5 - 3.5 (hot-sunny L24) -&gt; pred ~14.4 at Fri noon, holding steady top-of-band. Hot sunny stretch continues (water ~79-80, sunny Fri forecast). Season total 24.5 gal.</t>
        </is>
      </c>
      <c r="W61" s="12277" t="n"/>
    </row>
    <row r="62">
      <c r="A62" s="12243" t="inlineStr">
        <is>
          <t>2026-07-10</t>
        </is>
      </c>
      <c r="B62" s="12244" t="inlineStr">
        <is>
          <t>13:14</t>
        </is>
      </c>
      <c r="C62" s="12244" t="inlineStr">
        <is>
          <t>TEST</t>
        </is>
      </c>
      <c r="D62" s="12245" t="n"/>
      <c r="E62" s="12245" t="n">
        <v>11.4</v>
      </c>
      <c r="F62" s="12245" t="n">
        <v>0.8</v>
      </c>
      <c r="G62" s="12245" t="n">
        <v>6.9</v>
      </c>
      <c r="H62" s="12245" t="n"/>
      <c r="I62" s="12246" t="n">
        <v>-3</v>
      </c>
      <c r="J62" s="12247" t="n"/>
      <c r="K62" s="12247" t="n"/>
      <c r="L62" s="12247" t="n"/>
      <c r="M62" s="12245" t="n"/>
      <c r="N62" s="12245" t="n"/>
      <c r="O62" s="12245" t="n">
        <v>13.5</v>
      </c>
      <c r="P62" s="12248" t="n">
        <v>0</v>
      </c>
      <c r="Q62" s="12245" t="n"/>
      <c r="R62" s="12245" t="n">
        <v>81</v>
      </c>
      <c r="S62" s="12245" t="n">
        <v>14.4</v>
      </c>
      <c r="T62" s="624" t="inlineStr">
        <is>
          <t>Overcast now, 83F, 63% RH; sun so far 6.6h of 8h daylight (82%); today high 84F, 0.00in precip, UV max 6.5</t>
        </is>
      </c>
      <c r="U62" s="12244" t="inlineStr">
        <is>
          <t>2026-07-10_1.jpeg;2026-07-10_2.jpeg;2026-07-10_3.jpeg;2026-07-10_4.jpeg;2026-07-10_5.jpeg;2026-07-10_6.jpeg</t>
        </is>
      </c>
      <c r="V62" s="624" t="inlineStr">
        <is>
          <t>25mL x0.2. FC 11.4, CC 0.8 -- BATHER/DOG-LOAD DAY (not a model miss). Pred error -3.0 (actual 11.4 vs 7/9 dose's 14.4) -- biggest miss since the 7/6 storm. Effective 24h loss 6.5 (14.4 + 1gal x3.5 - 11.4), ~2x the ~3.5 hot-sunny baseline. THE TELL: FC crashed AND CC jumped 0.2-&gt;0.8 at the same time -- sun burns FC but does NOT create CC, so the CC pins the excess on an ORGANIC load, not weather. Cause confirmed by John: a DOG swam (+ one person). A dog is a large chlorine consumer (fur/dander/dirt/oils -&gt; demand + chloramines), easily accounts for the extra ~2.5 ppm demand and the 0.8 CC; Thursday's all-day sun supplied a high-end baseline (~4) on top -&gt; ~4 + ~2.5 = 6.5. fc_loss BLANKED: exogenous bather/dog load makes it non-representative of weather demand -- do NOT let it skew the loss-vs-weather buckets (same treatment as storm/pump-confounded days). Water CLEAR (bottom + steps fully visible) -&gt; NOT algae, purely a demand event that high FC clears. FC 11.4 still above floor (10.5), never unsafe. Dark object in a photo = the robotic vacuum cleaning the floor (benign, per John). Water temp 81 (warming trend continues). Level 14.4 (down 0.3, evaporation; no rain). PHOTOS(6): 2 ruler shots (14.4); wide shots clear/healthy with pool floats drying on the deck (flag/duck -- pool got used); step close-up normal speckled liner. SAT 7/11 CONCERT: John can't dose Sat night -&gt; tonight's dose pre-loads the coast to Sun. GOOD: Sat forecast CLOUDY (3.7 sun hrs) = low-loss, eases the pre-load. Sun 7/12: full test battery (CYA re-anchor) + resume dosing. CYA recheck ~2.5 wks old (last 6/24).</t>
        </is>
      </c>
      <c r="W62" s="12249" t="inlineStr">
        <is>
          <t>dog</t>
        </is>
      </c>
    </row>
    <row r="63">
      <c r="A63" s="12250" t="inlineStr">
        <is>
          <t>2026-07-10</t>
        </is>
      </c>
      <c r="B63" s="12251" t="inlineStr">
        <is>
          <t>19:50</t>
        </is>
      </c>
      <c r="C63" s="12251" t="inlineStr">
        <is>
          <t>DOSE</t>
        </is>
      </c>
      <c r="D63" s="12252" t="n"/>
      <c r="E63" s="12252" t="n"/>
      <c r="F63" s="12252" t="n"/>
      <c r="G63" s="12252" t="n"/>
      <c r="H63" s="12252" t="n">
        <v>13.6</v>
      </c>
      <c r="I63" s="12253" t="n"/>
      <c r="J63" s="12254" t="n"/>
      <c r="K63" s="12254" t="n"/>
      <c r="L63" s="12254" t="n"/>
      <c r="M63" s="12252" t="n">
        <v>1.5</v>
      </c>
      <c r="N63" s="12252" t="n">
        <v>26</v>
      </c>
      <c r="O63" s="12252" t="n"/>
      <c r="P63" s="12255" t="n"/>
      <c r="Q63" s="12252" t="n"/>
      <c r="R63" s="12252" t="n"/>
      <c r="S63" s="12252" t="n"/>
      <c r="T63" s="631" t="inlineStr">
        <is>
          <t>Partly sunny clouding up (high 84F, water 81F); cloudy Sat 7/11 forecast (3.7 sun hrs)</t>
        </is>
      </c>
      <c r="U63" s="12251" t="n"/>
      <c r="V63" s="631" t="inlineStr">
        <is>
          <t>1.5 gal added 7:50 PM. First leg of the split-dose plan for the Sat-concert coast (can't dose Sat night -&gt; 1.5 tonight + 1.0 Sat noon -&gt; Sun full battery + resume). Recovers FC from the lean 11.4 (dog-load day) and gives headroom to clear the 0.8 CC overnight. Loss window = overnight + cloudy Sat AM (Sat only 3.7 sun hrs) -&gt; L24 ~3.0 -&gt; pred ~13.6 at Sat noon. Season total 26.0 gal.</t>
        </is>
      </c>
      <c r="W63" s="12256" t="n"/>
    </row>
    <row r="64">
      <c r="A64" s="12257" t="inlineStr">
        <is>
          <t>2026-07-11</t>
        </is>
      </c>
      <c r="B64" s="12258" t="inlineStr">
        <is>
          <t>12:30</t>
        </is>
      </c>
      <c r="C64" s="12258" t="inlineStr">
        <is>
          <t>TEST</t>
        </is>
      </c>
      <c r="D64" s="12259" t="n"/>
      <c r="E64" s="12259" t="n"/>
      <c r="F64" s="12259" t="n"/>
      <c r="G64" s="12259" t="n"/>
      <c r="H64" s="12259" t="n"/>
      <c r="I64" s="12260" t="n"/>
      <c r="J64" s="12261" t="n"/>
      <c r="K64" s="12261" t="n"/>
      <c r="L64" s="12261" t="n"/>
      <c r="M64" s="12259" t="n"/>
      <c r="N64" s="12259" t="n"/>
      <c r="O64" s="12259" t="n"/>
      <c r="P64" s="12262" t="n">
        <v>0</v>
      </c>
      <c r="Q64" s="12259" t="n"/>
      <c r="R64" s="12259" t="n">
        <v>81</v>
      </c>
      <c r="S64" s="12259" t="n">
        <v>13.8</v>
      </c>
      <c r="T64" s="813" t="inlineStr">
        <is>
          <t>Clear now, 80F, 61% RH; sun so far 6.0h of 7h daylight (86%); today high 80F, 0.00in precip, UV max 7.7</t>
        </is>
      </c>
      <c r="U64" s="12258" t="inlineStr">
        <is>
          <t>2026-07-11_1.jpeg;2026-07-11_2.jpeg;2026-07-11_3.jpeg;2026-07-11_4.jpeg;2026-07-11_5.jpeg</t>
        </is>
      </c>
      <c r="V64" s="813" t="inlineStr">
        <is>
          <t>Readings ~12:30 PM. LEVEL 13.8 cm + WATER TEMP 81 both valid. FC/CC LEFT BLANK -- reagent failure, no valid chlorine reading today (not recording an impossible value or an invented one). John ran 2 FC titrations: #1 ran out of the OLD FAS mid-test, finished with a NEW bottle -&gt; 105 drops = 21.0; #2 all-NEW FAS -&gt; 125 drops = 25.0 (CC ~0.5 both). BOTH CHEMICALLY IMPOSSIBLE: Fri noon FC 11.4, +1.5 gal (=+5.25) Fri eve, nothing added today -&gt; HARD CEILING ~16.6 ppm; FC cannot be 21 or 25. DIAGNOSIS: the NEW FAS titrant bottle is weak/degraded -&gt; over-titrates (weak drops each remove less chlorine -&gt; more drops -&gt; falsely high FC). Confirmed by pattern: more new reagent = more drops (mixed 105 &lt; all-new 125); yesterday's read on the OLD bottle was a normal ~57 drops. So OLD bottle good, NEW bottle bad. (Minor CYA-endpoint fade at CYA 150 can add a bit, but a near-doubling of drops is a potency problem.) TRUE FC estimated ~13.6 -- matches last night's dose prediction exactly. FAS (R-0871) is the least-stable kit reagent (oxidizes w/ age+heat) -&gt; REPLACE. John correctly did NOT dose on a bogus 25. Recommending the planned ~1 gal Sat-noon top-up anyway: true FC ~13.6, safe (ceiling ~16.6), and Sat came in SUNNY not the forecast cloudy -&gt; without the top-up FC coasts to ~9.9 (below floor) by Sun; with it ~13.4. Water CLEAR/healthy in photos (bottom+steps visible, no algae) -- pool is fine, only the reagent is off. Level 13.8 (down 0.6, evaporation; dry). PHOTOS(5): ruler (13.8) + clear wide shots. SUN 7/12: full battery + resume -- NEEDS fresh FAS for reliable FC/CC.</t>
        </is>
      </c>
      <c r="W64" s="12263" t="n"/>
    </row>
    <row r="65">
      <c r="A65" s="12271" t="inlineStr">
        <is>
          <t>2026-07-11</t>
        </is>
      </c>
      <c r="B65" s="12272" t="inlineStr">
        <is>
          <t>13:00</t>
        </is>
      </c>
      <c r="C65" s="12272" t="inlineStr">
        <is>
          <t>DOSE</t>
        </is>
      </c>
      <c r="D65" s="12273" t="n"/>
      <c r="E65" s="12273" t="n"/>
      <c r="F65" s="12273" t="n"/>
      <c r="G65" s="12273" t="n"/>
      <c r="H65" s="12273" t="n">
        <v>13.6</v>
      </c>
      <c r="I65" s="12274" t="n"/>
      <c r="J65" s="12275" t="n"/>
      <c r="K65" s="12275" t="n"/>
      <c r="L65" s="12275" t="n"/>
      <c r="M65" s="12273" t="n">
        <v>1</v>
      </c>
      <c r="N65" s="12273" t="n">
        <v>27</v>
      </c>
      <c r="O65" s="12273" t="n"/>
      <c r="P65" s="12276" t="n"/>
      <c r="Q65" s="12273" t="n"/>
      <c r="R65" s="12273" t="n"/>
      <c r="S65" s="12273" t="n"/>
      <c r="T65" s="827" t="inlineStr">
        <is>
          <t>Sunny (6h sun by noon, high 80F, water 81F); daytime top-up before Sat-night concert</t>
        </is>
      </c>
      <c r="U65" s="12272" t="n"/>
      <c r="V65" s="827" t="inlineStr">
        <is>
          <t>1.0 gal added 1:00 PM. Leg 2 of the split-dose (Sat-concert coast; can't dose Sat night). Dosed on the MODEL-ESTIMATED base FC ~13.6 -- today's titration was INVALID (bad new FAS reagent over-read a bogus 21/25; see 7/11 TEST note; hard ceiling was ~16.6). +1gal x3.5 - ~3.5 sunny-day loss -&gt; pred ~13.6 at Sun noon (holds steady, keeps FC off the floor across sunny Sat + concert night). John ordered a fresh reagent set from TFTestKits (TF-100) -&gt; reliable FC/CC resumes once it arrives; Sun full battery may still ride the estimate if it hasn't shown up. Season total 27.0 gal.</t>
        </is>
      </c>
      <c r="W65" s="12277" t="n"/>
    </row>
    <row r="66">
      <c r="A66" s="12285" t="inlineStr">
        <is>
          <t>2026-07-12</t>
        </is>
      </c>
      <c r="B66" s="12286" t="inlineStr">
        <is>
          <t>13:00</t>
        </is>
      </c>
      <c r="C66" s="12286" t="inlineStr">
        <is>
          <t>TEST</t>
        </is>
      </c>
      <c r="D66" s="12287" t="n">
        <v>7.7</v>
      </c>
      <c r="E66" s="12287" t="n"/>
      <c r="F66" s="12287" t="n">
        <v>0.4</v>
      </c>
      <c r="G66" s="12287" t="n"/>
      <c r="H66" s="12287" t="n"/>
      <c r="I66" s="12288" t="n"/>
      <c r="J66" s="12289" t="n">
        <v>150</v>
      </c>
      <c r="K66" s="12289" t="n">
        <v>200</v>
      </c>
      <c r="L66" s="12289" t="n">
        <v>144</v>
      </c>
      <c r="M66" s="12287" t="n"/>
      <c r="N66" s="12287" t="n"/>
      <c r="O66" s="12287" t="n"/>
      <c r="P66" s="12290" t="n">
        <v>0</v>
      </c>
      <c r="Q66" s="12287" t="n"/>
      <c r="R66" s="12287" t="n">
        <v>81</v>
      </c>
      <c r="S66" s="12287" t="n">
        <v>13.7</v>
      </c>
      <c r="T66" s="1047" t="inlineStr">
        <is>
          <t>Clear now, 79F, 51% RH; sun so far 7.2h of 8h daylight (90%); today high 81F, 0.00in precip, UV max 7.7</t>
        </is>
      </c>
      <c r="U66" s="12286" t="inlineStr">
        <is>
          <t>2026-07-12_1.jpeg;2026-07-12_2.jpeg;2026-07-12_3.jpeg;2026-07-12_4.jpeg;2026-07-12_5.jpeg;2026-07-12_6.jpeg;2026-07-12_7.jpeg;2026-07-12_8.jpeg;2026-07-12_9.jpeg</t>
        </is>
      </c>
      <c r="V66" s="1047" t="inlineStr">
        <is>
          <t>FULL BATTERY (drop tests + 2 test strips as cross-check), ~1PM. RE-ANCHORS: pH 7.7, TA 150, CH ~200, CYA ~144 (was 150; ~6ppm passive rain-dilution over 3 wks) -- ALL corroborated by the strips (pH pad pink~7.7, TA green~150, hardness purple~200, CYA magenta~144). Updated dose.py cya_current 150-&gt;144 (band now floor ~10 / aim ~14). CC ~0.4 (low, fine; same reagent so approx, but 'low' is robust). Water crystal clear, no algae (photos). Level 13.7, temp 81. FC LEFT BLANK -- still no reliable value: both remaining OLD FAS bottles (incl. the season-start 'very old' one) read 105-108 drops = ~21, same as Sat's new bottle. 21 sits right at the absolute zero-loss ceiling (Fri 11.4 +1.5gal +1.0gal = ~20.15 max) so it can't literally be 21 -&gt; reagent over-reading (as Sat proved vs the 16.6 ceiling then). BOTH strips' FC pads read PURPLE/'excessive' = FC&gt;10 (their scale max) -- consistent with ~13-20, doesn't distinguish. BEST ESTIMATE true FC ~13-15 (model + Sat's ~1.5x over-read factor applied to 21); could be ~18-20 if weekend loss was minimal at CYA 144. Either way SAFELY IN BAND (floor ~10, safe to ~19-20) and &gt;10 per strips. Two old bottles agreeing -&gt; likely both aged/degraded and/or high-CYA+high-FC FAS endpoint fade (chasing the returning pink over-counts). PLAN: no dose today (in-band, clear, CC low); wait for fresh TF-100 for a true FC, or track the drop-count TREND (day-to-day change is real even if absolute is off; when the count falls toward ~70 drops, FC is nearing dose-time). pred_error blank (no valid actual; ~13-15 estimate is consistent with Sat dose's 13.6 pred).</t>
        </is>
      </c>
      <c r="W66" s="12291" t="n"/>
    </row>
    <row r="67">
      <c r="A67" s="12292" t="inlineStr">
        <is>
          <t>2026-07-13</t>
        </is>
      </c>
      <c r="B67" s="12293" t="inlineStr">
        <is>
          <t>13:40</t>
        </is>
      </c>
      <c r="C67" s="12293" t="inlineStr">
        <is>
          <t>TEST</t>
        </is>
      </c>
      <c r="D67" s="12294" t="n"/>
      <c r="E67" s="12294" t="n"/>
      <c r="F67" s="12294" t="n">
        <v>0</v>
      </c>
      <c r="G67" s="12294" t="n"/>
      <c r="H67" s="12294" t="n"/>
      <c r="I67" s="12295" t="n"/>
      <c r="J67" s="12296" t="n"/>
      <c r="K67" s="12296" t="n"/>
      <c r="L67" s="12296" t="n"/>
      <c r="M67" s="12294" t="n"/>
      <c r="N67" s="12294" t="n"/>
      <c r="O67" s="12294" t="n"/>
      <c r="P67" s="12297" t="n">
        <v>0</v>
      </c>
      <c r="Q67" s="12294" t="n"/>
      <c r="R67" s="12294" t="n">
        <v>81</v>
      </c>
      <c r="S67" s="12294" t="n">
        <v>13.3</v>
      </c>
      <c r="T67" s="1199" t="inlineStr">
        <is>
          <t>Overcast now, 80F, 57% RH; sun so far 8.2h of 9h daylight (92%); today high 81F, 0.00in precip, UV max 7.7</t>
        </is>
      </c>
      <c r="U67" s="12293" t="inlineStr">
        <is>
          <t>2026-07-13_1.jpeg;2026-07-13_2.jpeg;2026-07-13_3.jpeg;2026-07-13_4.jpeg;2026-07-13_5.jpeg;2026-07-13_6.jpeg;2026-07-13_7.jpeg;2026-07-13_8.jpeg;2026-07-13_9.jpeg;2026-07-13_10.jpeg;2026-07-13_11.jpeg</t>
        </is>
      </c>
      <c r="V67" s="1199" t="inlineStr">
        <is>
          <t>~1:40 PM. FC still on the bad old reagent: 96 drops = 19.2 (over-reads ~1.5x) -&gt; CORRECTED ~13. TREND WORKING as designed: Sun ~106 drops -&gt; Mon 96 drops (-10) = real, modest FC decline (~1-1.5 ppm/day true), confirming loss is LOW at CYA 144 (no swimming). Still comfortably above the ~10 floor. CC 0.0 (clean; also means no combined-chlorine endpoint muddle today). Water clear/healthy (photos), level 13.3 (down 0.4, evaporation; dry), temp 81. NO dose needed tonight; slow loss pushes next dose to ~Wed. Waiting on TF-100 for a true FC recalibration; John doing dip tests later today. FC column blank (reading unreliable; trend + corrected estimate in notes). EVENING STRIPS (~6:20PM, both brands) re-confirm the stable anchors: pH ~7.7, TA ~150, hardness ~200, CYA ~140-150 (all match the drop tests). FC pads DISAGREE by brand -- 4-chem reads 'excessive'/purple (high), HTH reads lighter (~2-4); classic high-CYA strip flakiness. They agree FC is present but can't quantify it, so the drop-count trend stays the FC handle. No change to the plan.</t>
        </is>
      </c>
      <c r="W67" s="12298" t="n"/>
    </row>
    <row r="68">
      <c r="A68" s="12285" t="inlineStr">
        <is>
          <t>2026-07-14</t>
        </is>
      </c>
      <c r="B68" s="12286" t="inlineStr">
        <is>
          <t>13:15</t>
        </is>
      </c>
      <c r="C68" s="12286" t="inlineStr">
        <is>
          <t>TEST</t>
        </is>
      </c>
      <c r="D68" s="12287" t="n"/>
      <c r="E68" s="12287" t="n"/>
      <c r="F68" s="12287" t="n">
        <v>0</v>
      </c>
      <c r="G68" s="12287" t="n"/>
      <c r="H68" s="12287" t="n"/>
      <c r="I68" s="12288" t="n"/>
      <c r="J68" s="12289" t="n"/>
      <c r="K68" s="12289" t="n"/>
      <c r="L68" s="12289" t="n"/>
      <c r="M68" s="12287" t="n"/>
      <c r="N68" s="12287" t="n"/>
      <c r="O68" s="12287" t="n"/>
      <c r="P68" s="12290" t="n">
        <v>0</v>
      </c>
      <c r="Q68" s="12287" t="n"/>
      <c r="R68" s="12287" t="n">
        <v>80</v>
      </c>
      <c r="S68" s="12287" t="n">
        <v>12.75</v>
      </c>
      <c r="T68" s="1047" t="inlineStr">
        <is>
          <t>Clear now, 84F, 61% RH; sun so far 7.2h of 8h daylight (90%); today high 89F, 0.00in precip, UV max 7.8</t>
        </is>
      </c>
      <c r="U68" s="12286" t="inlineStr">
        <is>
          <t>2026-07-14_1.jpeg;2026-07-14_2.jpeg;2026-07-14_3.jpeg;2026-07-14_4.jpeg;2026-07-14_5.jpeg;2026-07-14_6.jpeg;2026-07-14_7.jpeg;2026-07-14_8.jpeg;2026-07-14_9.jpeg;2026-07-14_10.jpeg;2026-07-14_11.jpeg;2026-07-14_12.jpeg;2026-07-14_13.jpeg;2026-07-14_14.jpeg;2026-07-14_15.jpeg;2026-07-14_16.jpeg;2026-07-14_17.jpeg</t>
        </is>
      </c>
      <c r="V68" s="1047" t="inlineStr">
        <is>
          <t>~1:15 PM. FC (bad old reagent): 86 drops = 17.2 reading -&gt; CORRECTED ~11.5. TREND DEAD-ON: 106 (Sun) -&gt; 96 (Mon) -&gt; 86 (Tue) = perfectly linear ~10 drops/day (~1.3 ppm/day true) decline; trend-tracking is nailing it. Still above the ~10 floor. CC 0.0 (clean). Level 12.75 (down 0.55, evaporation; dry), temp 80. FOUR dip tests (2 known brands + 2 older unknown-age): all roughly agree the STABLE anchors are in range (pH ~7.7, TA ~150, hardness ~200, CYA ~140) but scatter on FC (bleach-sensitive at CYA 144 + varying age) -- no usable FC number, as expected. Water clear/healthy. PLAN: no dose today (~11.5, in band); at ~10 drops/day the count hits the ~75 dose-line ~WED -&gt; plan ~1 gal Wed eve to bridge to the TF-100 (ETA Fri 7/17). FC blank (unreliable; trend+corrected in notes). 17 photos incl the 4 dip tests.</t>
        </is>
      </c>
      <c r="W68" s="12291" t="n"/>
    </row>
    <row r="69">
      <c r="A69" s="12257" t="inlineStr">
        <is>
          <t>2026-07-15</t>
        </is>
      </c>
      <c r="B69" s="12258" t="inlineStr">
        <is>
          <t>12:25</t>
        </is>
      </c>
      <c r="C69" s="12258" t="inlineStr">
        <is>
          <t>TEST</t>
        </is>
      </c>
      <c r="D69" s="12259" t="n"/>
      <c r="E69" s="12259" t="n"/>
      <c r="F69" s="12259" t="n">
        <v>0.2</v>
      </c>
      <c r="G69" s="12259" t="n"/>
      <c r="H69" s="12259" t="n"/>
      <c r="I69" s="12260" t="n"/>
      <c r="J69" s="12261" t="n"/>
      <c r="K69" s="12261" t="n"/>
      <c r="L69" s="12261" t="n"/>
      <c r="M69" s="12259" t="n"/>
      <c r="N69" s="12259" t="n"/>
      <c r="O69" s="12259" t="n"/>
      <c r="P69" s="12262" t="n">
        <v>0</v>
      </c>
      <c r="Q69" s="12259" t="n"/>
      <c r="R69" s="12259" t="n">
        <v>80</v>
      </c>
      <c r="S69" s="12259" t="n">
        <v>12.6</v>
      </c>
      <c r="T69" s="813" t="inlineStr">
        <is>
          <t>Clear now, 86F, 62% RH; sun so far 6.3h of 7h daylight (90%); today high 87F, 0.00in precip, UV max 7.8</t>
        </is>
      </c>
      <c r="U69" s="12258" t="inlineStr">
        <is>
          <t>2026-07-15_1.jpeg;2026-07-15_2.jpeg;2026-07-15_3.jpeg;2026-07-15_4.jpeg</t>
        </is>
      </c>
      <c r="V69" s="813" t="inlineStr">
        <is>
          <t>~12:25 PM. FC (bad old reagent): 75 drops = 15.0 reading -&gt; CORRECTED ~10.0 -- RIGHT AT the floor and exactly on the ~75 dose-line. TREND still linear: 106-&gt;96-&gt;86-&gt;75 (~10 drops/day). CC 0.2 (John unsure; low regardless, fine). Level 12.6 (slow evaporation; dry), temp 80. Water clear/healthy (photos). DOSE TONIGHT: recommending 1.5 gal (restore toward aim ~14 from the floor; comfortably clears Fri when the TF-100 lands) -&gt; ~13.5-14 peak -&gt; ~11 Fri. FC blank (unreliable; 75 drops/~10 corrected recorded here). TF-100 ETA Fri 7/17.</t>
        </is>
      </c>
      <c r="W69" s="12263" t="n"/>
    </row>
    <row r="70">
      <c r="A70" s="12271" t="inlineStr">
        <is>
          <t>2026-07-15</t>
        </is>
      </c>
      <c r="B70" s="12272" t="inlineStr">
        <is>
          <t>20:00</t>
        </is>
      </c>
      <c r="C70" s="12272" t="inlineStr">
        <is>
          <t>DOSE</t>
        </is>
      </c>
      <c r="D70" s="12273" t="n"/>
      <c r="E70" s="12273" t="n"/>
      <c r="F70" s="12273" t="n"/>
      <c r="G70" s="12273" t="n"/>
      <c r="H70" s="12273" t="n">
        <v>13</v>
      </c>
      <c r="I70" s="12274" t="n"/>
      <c r="J70" s="12275" t="n"/>
      <c r="K70" s="12275" t="n"/>
      <c r="L70" s="12275" t="n"/>
      <c r="M70" s="12273" t="n">
        <v>1.5</v>
      </c>
      <c r="N70" s="12273" t="n">
        <v>28.5</v>
      </c>
      <c r="O70" s="12273" t="n"/>
      <c r="P70" s="12276" t="n"/>
      <c r="Q70" s="12273" t="n"/>
      <c r="R70" s="12273" t="n"/>
      <c r="S70" s="12273" t="n"/>
      <c r="T70" s="827" t="inlineStr">
        <is>
          <t>Clear/hazy evening ~80F; wildfire smoke moving in (1-2 days of reduced sun)</t>
        </is>
      </c>
      <c r="U70" s="12272" t="n"/>
      <c r="V70" s="827" t="inlineStr">
        <is>
          <t>1.5 gal added 8:00 PM. Restores FC from the floor (~10 corrected est) back toward aim (~14) and bridges to Fri's TF-100. Dosed on a CORRECTED-ESTIMATE base (bad reagent; 75-drop reading = ~10 true), so pred ~13 at Thu noon is a ballpark (10 + 1.5gal x3.5 - ~2.5 loss). WILDFIRE SMOKE incoming (1-2 days) -&gt; reduced UV -&gt; loss likely LOWER than modeled, so FC may hold a bit higher (watch for the drop-count decline flattening; weather feed logs clear-sky sun it can't see through smoke). First dose since Sat 7/11 (FC coasted down all week on the trend 106-&gt;96-&gt;86-&gt;75). Season total 28.5 gal.</t>
        </is>
      </c>
      <c r="W70" s="12277" t="n"/>
    </row>
    <row r="71">
      <c r="A71" s="12285" t="inlineStr">
        <is>
          <t>2026-07-16</t>
        </is>
      </c>
      <c r="B71" s="12286" t="inlineStr">
        <is>
          <t>12:30</t>
        </is>
      </c>
      <c r="C71" s="12286" t="inlineStr">
        <is>
          <t>TEST</t>
        </is>
      </c>
      <c r="D71" s="12287" t="n"/>
      <c r="E71" s="12287" t="n"/>
      <c r="F71" s="12287" t="n">
        <v>0.4</v>
      </c>
      <c r="G71" s="12287" t="n"/>
      <c r="H71" s="12287" t="n"/>
      <c r="I71" s="12288" t="n"/>
      <c r="J71" s="12289" t="n"/>
      <c r="K71" s="12289" t="n"/>
      <c r="L71" s="12289" t="n"/>
      <c r="M71" s="12287" t="n"/>
      <c r="N71" s="12287" t="n"/>
      <c r="O71" s="12287" t="n"/>
      <c r="P71" s="12290" t="n">
        <v>0</v>
      </c>
      <c r="Q71" s="12287" t="n"/>
      <c r="R71" s="12287" t="n">
        <v>80</v>
      </c>
      <c r="S71" s="12287" t="n">
        <v>12.2</v>
      </c>
      <c r="T71" s="1047" t="inlineStr">
        <is>
          <t>Partly cloudy now, 79F, 67% RH; sun so far 5.3h of 7h daylight (76%); today high 85F, 0.00in precip, UV max 7.7  [NOTE: feed reports clear-sky sun; it cannot see the wildfire smoke, so real UV was lower]</t>
        </is>
      </c>
      <c r="U71" s="12286" t="inlineStr">
        <is>
          <t>2026-07-16_1.jpeg;2026-07-16_2.jpeg;2026-07-16_3.jpeg;2026-07-16_4.jpeg</t>
        </is>
      </c>
      <c r="V71" s="1047" t="inlineStr">
        <is>
          <t>~12:30 PM. FC (bad old reagent): 109 drops = 21.8 reading -&gt; CORRECTED ~14.5. DOSE LANDED + SMOKE EFFECT QUANTIFIED: Wed noon was 75 drops; the 1.5gal adds ~39 drops (5.25 true x1.5 over-read) -&gt; ~114 expected before loss; actual 109 =&gt; only ~5 drops (~0.72 true ppm) lost in 24h vs the ~10 drops/day (~1.3 ppm) of the prior sunny week. WILDFIRE SMOKE CUT FC LOSS ~IN HALF, exactly as predicted (reduced UV). FC ~14.5 = right at/above aim (14). Dose-row pred was 13.0, so it ran ~+1.5 high -- attributable to the smoke; pred_error left BLANK because the 'actual' is a corrected estimate, not a measurement. CC 0.4 (up from 0.2) -- also as predicted: smoke ash/particulate adds a tiny organic load; photos show fine specks on the skimmer frame. Still low/fine. Level 12.2, sliding ~0.4/day on the dry hot stretch (season range 11.65-15.5 so still normal, but a hose top-up may be due if the dry spell holds). Temp 80. Water clear, no film/algae. NO dose tonight (FC at aim). FRI 7/17: TF-100 lands -&gt; real FC -&gt; recalibrate the over-read factor + resume precise dosing. FC blank (unreliable; 109 drops/~14.5 corrected recorded here).</t>
        </is>
      </c>
      <c r="W71" s="12291" t="n"/>
    </row>
    <row r="72">
      <c r="A72" s="12292" t="inlineStr">
        <is>
          <t>2026-07-17</t>
        </is>
      </c>
      <c r="B72" s="12293" t="inlineStr">
        <is>
          <t>12:45</t>
        </is>
      </c>
      <c r="C72" s="12293" t="inlineStr">
        <is>
          <t>TEST</t>
        </is>
      </c>
      <c r="D72" s="12294" t="n"/>
      <c r="E72" s="12294" t="n">
        <v>17.6</v>
      </c>
      <c r="F72" s="12294" t="n">
        <v>0.2</v>
      </c>
      <c r="G72" s="12294" t="n"/>
      <c r="H72" s="12294" t="n"/>
      <c r="I72" s="12295" t="n"/>
      <c r="J72" s="12296" t="n"/>
      <c r="K72" s="12296" t="n"/>
      <c r="L72" s="12296" t="n"/>
      <c r="M72" s="12294" t="n"/>
      <c r="N72" s="12294" t="n"/>
      <c r="O72" s="12294" t="n"/>
      <c r="P72" s="12297" t="n">
        <v>0</v>
      </c>
      <c r="Q72" s="12294" t="n"/>
      <c r="R72" s="12294" t="n">
        <v>78</v>
      </c>
      <c r="S72" s="12294" t="n">
        <v>12</v>
      </c>
      <c r="T72" s="1199" t="inlineStr">
        <is>
          <t>Clear now, 82F, 40% RH; feed sun 8.3h of 9h daylight (clear-sky); high 82F, 0.00in precip, UV max 7.7  [NOTE: feed can't see the wildfire smoke -- real UV likely still lower]</t>
        </is>
      </c>
      <c r="U72" s="12293" t="inlineStr">
        <is>
          <t>2026-07-17_1.jpeg;2026-07-17_2.jpeg;2026-07-17_3.jpeg;2026-07-17_4.jpeg;2026-07-17_5.jpeg;2026-07-17_6.jpeg</t>
        </is>
      </c>
      <c r="V72" s="1199" t="inlineStr">
        <is>
          <t>~12:45 PM. TF-100 KIT ARRIVED -&gt; REAL FC RESUMES (first measured FC since 7/10). New reagent: 88 drops = FC 17.6, REPRODUCED exactly on a 2nd proper first-clear titration (held 15s, ignored the CYA re-pink). CC 0.2. Reagent-estimate era (7/11-7/16, FC logged blank) CLOSED. RESOLUTION: the 'impossible-looking' FC was mostly a POOL-VOLUME error, not just the reagent. Measured hopper geometry (John's sketch: 40x20; 12ft shallow shelf @3ft; deep flat 10x14 @8.5ft; ALL perimeter walls 3ft) = ~31,400 gal FULL, not 34,400 (~9% high all season; see pool_volume.py). So the old FAS over-read only ~1.2x (not ~1.5x), and with wildfire smoke nearly freezing loss (~0.2 ppm/day) 17.6 is fully consistent. Back-solve: 7/16 true FC was ~18 (not the ~14.5 we estimated) -&gt; the smoke week ran ~20% HIGHER than logged; always safe. FC 17.6 is ABOVE the 13-15 target band but well within safe-swim (~19-20 at CYA 144) -&gt; NO dose tonight; coasts into band over ~2-4 days. dose.py updated 34400-&gt;31400 gal, 3.5-&gt;3.84 ppm/gal (evening L24 model now needs re-validation -- it was fit to the old response). LEVEL-&gt;VOLUME METHOD (new): shallow measures 34.5in vs 36in full = 1.5in low -&gt; current volume ~30,700 gal; skimmer ruler 12.0cm. Going forward, daily skimmer delta x ~196 gal/cm = gallon loss/gain (7/16-&gt;17 was -0.2cm ~ -39 gal evap, tiny under smoke). PHOTOS(6): water CRYSTAL clear, bottom + deep hopper fully visible, no algae/cloud/film; robotic vacuum on the floor; ruler shots confirm 12.0cm; liner normal. fc_loss/pred_error BLANK (span the reagent-era change). Reagent saga CLOSED.</t>
        </is>
      </c>
      <c r="W72" s="12298" t="inlineStr">
        <is>
          <t>smoke</t>
        </is>
      </c>
    </row>
    <row r="73">
      <c r="A73" s="12285" t="inlineStr">
        <is>
          <t>2026-07-18</t>
        </is>
      </c>
      <c r="B73" s="12286" t="inlineStr">
        <is>
          <t>12:15</t>
        </is>
      </c>
      <c r="C73" s="12286" t="inlineStr">
        <is>
          <t>TEST</t>
        </is>
      </c>
      <c r="D73" s="12287" t="n"/>
      <c r="E73" s="12287" t="n">
        <v>15.8</v>
      </c>
      <c r="F73" s="12287" t="n">
        <v>0.4</v>
      </c>
      <c r="G73" s="12287" t="n">
        <v>1.8</v>
      </c>
      <c r="H73" s="12287" t="n"/>
      <c r="I73" s="12288" t="n"/>
      <c r="J73" s="12289" t="n"/>
      <c r="K73" s="12289" t="n"/>
      <c r="L73" s="12289" t="n"/>
      <c r="M73" s="12287" t="n"/>
      <c r="N73" s="12287" t="n"/>
      <c r="O73" s="12287" t="n"/>
      <c r="P73" s="12290" t="n">
        <v>0.59</v>
      </c>
      <c r="Q73" s="12287" t="n"/>
      <c r="R73" s="12287" t="n">
        <v>78</v>
      </c>
      <c r="S73" s="12287" t="n">
        <v>11.7</v>
      </c>
      <c r="T73" s="1047" t="inlineStr">
        <is>
          <t>Overcast + smoke haze returned (John's obs); rain moving in - rain rings visible on the surface in today's photos. Feed: partly cloudy 78F, 70% RH, feed sun 5.8h of 7h daylight (clear-sky - can't see the smoke/overcast, so Sun left BLANK); high 79F, ~0.89in precip (ongoing, provisional), UV max 5.1. dose.py bucket: rain.</t>
        </is>
      </c>
      <c r="U73" s="12286" t="inlineStr">
        <is>
          <t>2026-07-18_1.jpg;2026-07-18_2.jpg;2026-07-18_3.jpg;2026-07-18_4.jpg;2026-07-18_5.jpg</t>
        </is>
      </c>
      <c r="V73" s="1047" t="inlineStr">
        <is>
          <t>12:15 PM. FIRST clean real-FC loss since the reagent saga: 17.6 -&gt; 15.8 with no dose = 1.8 ppm/24h. PREDICTION TEST (called before seeing the numbers): predicted 15.5, actual 15.8, err +0.3 -- while dose.py's model would have said 14.1 (err +1.7). That's a 3rd signal that l24_sunny=3.5 runs ~2x hot (pre-smoke clear week ~1.7 ppm/day; today 1.8; smoke days ~0.2). NOT retuning yet -- smoke confounds all three; 7/19 is forecast genuinely sunny (12.7h sun, no rain), so 7/19-&gt;7/20 should be the first clean sunny pair to judge on. NO DOSE tonight: FC 15.8 is above aim 14; ~2 ppm expected loss puts tomorrow ~13.8, right at aim and well clear of floor 10. CC 0.4 (up from 0.2) -- WATCH: overcast/smoke means less UV to burn chloramines, but FC is high which should handle it; flag if it holds &gt;=0.5. LEVEL/VOLUME (new method): 12.0 -&gt; 11.7 cm = -0.3 cm x ~196 = ~-59 gal net evaporation (low, consistent with overcast + 70% RH). Current volume ~30,640 gal; shallow ~34.4 in, ~1.6 in below full. FORECAST: 7-day precip 1.77 in ~= 884 gal into the pool (rain today, dry+sunny 7/19-7/20, more rain 7/21-7/22) -- that roughly REFILLS the ~790 gal deficit, so NO top-off needed; only modest excess beyond full, minimal CYA dilution. PHOTOS(5): water clear, bottom + deep hopper visible under flat overcast light, rain rings on surface, no algae/cloudiness; skimmer ruler still firmly adhered (POOL.md adhesive watch item). INCIDENT+FIX: file_photos.py re-dated 88 already-dated .jpeg photos to today -- its 'already dated' guard regex only matched .jpg, so every .jpeg in the archive looked like a fresh camera file. All 88 restored from git (nothing lost); today's 5 photos intact and renumbered 1-5. Script fixed: guard now covers all image extensions, plus a MAX_AUTO=25 bulk-rename abort with a preview.</t>
        </is>
      </c>
      <c r="W73" s="12291" t="inlineStr">
        <is>
          <t>smoke</t>
        </is>
      </c>
    </row>
    <row r="74">
      <c r="A74" s="12257" t="inlineStr">
        <is>
          <t>2026-07-19</t>
        </is>
      </c>
      <c r="B74" s="12258" t="inlineStr">
        <is>
          <t>12:30</t>
        </is>
      </c>
      <c r="C74" s="12258" t="inlineStr">
        <is>
          <t>TEST</t>
        </is>
      </c>
      <c r="D74" s="12259" t="n"/>
      <c r="E74" s="12259" t="n">
        <v>11.6</v>
      </c>
      <c r="F74" s="12259" t="n">
        <v>0.4</v>
      </c>
      <c r="G74" s="12259" t="n">
        <v>3.8</v>
      </c>
      <c r="H74" s="12259" t="n"/>
      <c r="I74" s="12260" t="n"/>
      <c r="J74" s="12261" t="n"/>
      <c r="K74" s="12261" t="n"/>
      <c r="L74" s="12261" t="n"/>
      <c r="M74" s="12259" t="n"/>
      <c r="N74" s="12259" t="n"/>
      <c r="O74" s="12259" t="n">
        <v>13.3</v>
      </c>
      <c r="P74" s="12262" t="n">
        <v>0.02</v>
      </c>
      <c r="Q74" s="12259" t="n"/>
      <c r="R74" s="12259" t="n">
        <v>78</v>
      </c>
      <c r="S74" s="12259" t="n">
        <v>16.3</v>
      </c>
      <c r="T74" s="813" t="inlineStr">
        <is>
          <t>Clear and genuinely sunny (photos: sharp shadows, strong caustics); smoke appears to have cleared. Feed: clear now, 75F, 55% RH; sun 13.3h (measured), high 77F, 0.02in precip, UV max 7.6. dose.py bucket: sunny.</t>
        </is>
      </c>
      <c r="U74" s="12258" t="inlineStr">
        <is>
          <t>2026-07-19_1.jpg;2026-07-19_2.jpg;2026-07-19_3.jpg;2026-07-19_4.jpg;2026-07-19_5.jpg;2026-07-19_6.jpg</t>
        </is>
      </c>
      <c r="V74" s="813" t="inlineStr">
        <is>
          <t>12:30 PM. FC 11.6 (58 drops) -- a BIG demand day. Level-corrected decomposition: yesterday 15.8 @ ~30,594 gal; rain added ~902 gal -&gt; ~31,496 gal, so dilution alone accounts for only 0.45 ppm (15.8 -&gt; 15.35). Real CHEMICAL loss = 15.35 - 11.6 = 3.75 ppm/24h. (FC loss column shows the raw 4.2 per its definition; 0.45 of that was dilution.) SAMPLE-LOCATION TEST (John's question): first sample deep-end beside the ladder = 58 drops; immediate mid-pool re-sample (same side) = 57 drops. 0.2 ppm apart = ONE drop = the test's own resolution -&gt; the pool mixes well and sample location does NOT materially matter; the low FC is genuine, not an artifact. PREDICTION MISS: predicted 13.8, actual 11.6 (-2.2). This CORRECTS the 'l24_sunny runs ~2x hot' lean -- dilution-corrected daily losses now read 1.7 / 0.2 / 1.8 / 3.75, i.e. genuinely noisy demand, matching POOL.md's original finding of ~3 ppm background +/- large scatter. Do NOT retune l24 off a handful of points. Loss also ran BACKWARDS vs sun: the low-sun rainy day (3.5h) lost 3.75 while the high-sun day (12.0h) lost 1.8 -- consistent with demand being driven by organic load (rain washing debris in + smoke deposition), not UV. WATER/RAIN: pool now ~31,500 gal, essentially FULL (16.3 cm vs the ~15.8 cm full mark) -- no top-off needed, and further rain overflows, which usefully dilutes CYA. NOTE: the feed recorded only 0.59in for 7/18 but the pool gained ~902 gal = 1.81in equivalent (~3x) -- either a localised downpour the grid missed or deck runoff draining in. The RULER is ground truth for the pool's water balance; the feed under-reports what actually arrives. CYA likely diluted ~144 -&gt; ~140; recheck due (last anchor 7/12). CC 0.4 steady. PHOTOS(6): bright sun, water crystal clear bottom-to-end, no algae/cloudiness. DOSE PLAN: 1.5 gal this evening -&gt; projected ~13.7 next noon.</t>
        </is>
      </c>
      <c r="W74" s="12263" t="inlineStr">
        <is>
          <t>storm</t>
        </is>
      </c>
    </row>
    <row r="75">
      <c r="A75" s="12264" t="inlineStr">
        <is>
          <t>2026-07-19</t>
        </is>
      </c>
      <c r="B75" s="12265" t="inlineStr">
        <is>
          <t>12:45</t>
        </is>
      </c>
      <c r="C75" s="12265" t="inlineStr">
        <is>
          <t>TEST</t>
        </is>
      </c>
      <c r="D75" s="12266" t="n"/>
      <c r="E75" s="12266" t="n">
        <v>11.4</v>
      </c>
      <c r="F75" s="12266" t="n"/>
      <c r="G75" s="12266" t="n"/>
      <c r="H75" s="12266" t="n"/>
      <c r="I75" s="12267" t="n"/>
      <c r="J75" s="12268" t="n"/>
      <c r="K75" s="12268" t="n"/>
      <c r="L75" s="12268" t="n"/>
      <c r="M75" s="12266" t="n"/>
      <c r="N75" s="12266" t="n"/>
      <c r="O75" s="12266" t="n"/>
      <c r="P75" s="12269" t="n"/>
      <c r="Q75" s="12266" t="n"/>
      <c r="R75" s="12266" t="n"/>
      <c r="S75" s="12266" t="n"/>
      <c r="T75" s="820" t="n"/>
      <c r="U75" s="12265" t="n"/>
      <c r="V75" s="820" t="inlineStr">
        <is>
          <t>Mid-pool QC re-sample (same side as the ladder), taken immediately after the 12:30 reading to test whether sample location matters. 57 drops = FC 11.4 vs 11.6 at the ladder -- one drop apart, i.e. inside the test's own resolution. CONCLUSION: the pool is well mixed and sample location does not materially bias the reading, so past readings weren't location-skewed and we needn't fuss over the spot (still: elbow-deep, pump running). Logged as its own TEST row per the multi-test convention; the 12:30 reading remains the canonical noon value for the dashboard.</t>
        </is>
      </c>
      <c r="W75" s="12270" t="n"/>
    </row>
    <row r="76">
      <c r="A76" s="12271" t="inlineStr">
        <is>
          <t>2026-07-19</t>
        </is>
      </c>
      <c r="B76" s="12272" t="inlineStr">
        <is>
          <t>20:10</t>
        </is>
      </c>
      <c r="C76" s="12272" t="inlineStr">
        <is>
          <t>DOSE</t>
        </is>
      </c>
      <c r="D76" s="12273" t="n"/>
      <c r="E76" s="12273" t="n"/>
      <c r="F76" s="12273" t="n"/>
      <c r="G76" s="12273" t="n"/>
      <c r="H76" s="12273" t="n">
        <v>13.9</v>
      </c>
      <c r="I76" s="12274" t="n"/>
      <c r="J76" s="12275" t="n"/>
      <c r="K76" s="12275" t="n"/>
      <c r="L76" s="12275" t="n"/>
      <c r="M76" s="12273" t="n">
        <v>1.5</v>
      </c>
      <c r="N76" s="12273" t="n">
        <v>30</v>
      </c>
      <c r="O76" s="12273" t="n"/>
      <c r="P76" s="12276" t="n"/>
      <c r="Q76" s="12273" t="n"/>
      <c r="R76" s="12273" t="n"/>
      <c r="S76" s="12273" t="n"/>
      <c r="T76" s="827" t="n"/>
      <c r="U76" s="12272" t="n"/>
      <c r="V76" s="827" t="inlineStr">
        <is>
          <t>8:10 PM, 1.5 gal poured (noon FC 11.6, aim 14). FIRST dose on the flattened l24 (all buckets 3.5) and the corrected volume/response (~31,500 gal at 16.3 cm, 3.84 ppm/gal). Projected next-noon FC 13.9 -- that's the model's UNCONDITIONAL forecast, since l24 3.5 is the all-days mean and includes event days. Claude's CONDITIONAL forecast: if tomorrow logs as 'quiet', the load-class baseline is 3.07 +/- 0.61, giving ~14.3. Scoring both tomorrow is the first direct test of whether the Load class beats the flat mean -- pred_error will be scored against the logged 13.9 per convention. Tomorrow's forecast: sunny 14.0h, high 80F, no rain. Season total now 30.0 gal. REMEMBER at tomorrow's noon test: record the Load flag for what the pool experienced this evening/overnight.</t>
        </is>
      </c>
      <c r="W76" s="12277" t="n"/>
    </row>
    <row r="77">
      <c r="A77" s="12285" t="inlineStr">
        <is>
          <t>2026-07-20</t>
        </is>
      </c>
      <c r="B77" s="12286" t="inlineStr">
        <is>
          <t>12:20</t>
        </is>
      </c>
      <c r="C77" s="12286" t="inlineStr">
        <is>
          <t>TEST</t>
        </is>
      </c>
      <c r="D77" s="12287" t="n"/>
      <c r="E77" s="12287" t="n">
        <v>16.8</v>
      </c>
      <c r="F77" s="12287" t="n">
        <v>0</v>
      </c>
      <c r="G77" s="12287" t="n">
        <v>0.6</v>
      </c>
      <c r="H77" s="12287" t="n"/>
      <c r="I77" s="12288" t="n">
        <v>2.9</v>
      </c>
      <c r="J77" s="12289" t="n"/>
      <c r="K77" s="12289" t="n"/>
      <c r="L77" s="12289" t="n"/>
      <c r="M77" s="12287" t="n"/>
      <c r="N77" s="12287" t="n"/>
      <c r="O77" s="12287" t="n">
        <v>13</v>
      </c>
      <c r="P77" s="12290" t="n">
        <v>0</v>
      </c>
      <c r="Q77" s="12287" t="n"/>
      <c r="R77" s="12287" t="n">
        <v>78</v>
      </c>
      <c r="S77" s="12287" t="n">
        <v>15.8</v>
      </c>
      <c r="T77" s="1047" t="inlineStr">
        <is>
          <t>Clear and sunny, 74F, 48% RH; sun 13.0h measured, high 76F, 0.00in precip, UV max 7.6. dose.py bucket: sunny. (Loss window 7/19 noon -&gt; 7/20 noon spanned two very sunny days: 13.2h then 13.0h.)</t>
        </is>
      </c>
      <c r="U77" s="12286" t="inlineStr">
        <is>
          <t>2026-07-20_1.jpg;2026-07-20_2.jpg;2026-07-20_3.jpg;2026-07-20_4.jpg</t>
        </is>
      </c>
      <c r="V77" s="1047" t="inlineStr">
        <is>
          <t>12:20 PM. FC 16.8 (84 drops), CC 0.0. Both forecasts missed LOW: Claude predicted 14.2 (load-class 'quiet' 3.07), dose.py predicted 13.9 (flat 3.5); errors +2.6 and +2.9. Mass balance: 11.6 @ 31,496 gal + 1.5 gal (=+5.74 ppm) - loss = 16.8 @ 31,398 gal (level 16.3-&gt;15.8 = -98 gal evaporation, NO rain so no dilution) =&gt; real loss 0.59 ppm/24h, the lowest non-smoke loss on record. Prediction record now +0.3 / -2.2 / +2.6. EXPLANATION (accepted): demand genuinely collapsed. The storm organics that drove 7/18-&gt;7/19's 3.75 ppm were fully oxidised; CC rising to 0.4 then falling to 0.0 tracks exactly that (chloramines formed, then burned off by the high FC), leaving almost nothing to consume chlorine. The window was VERY sunny (13.2h then 13.0h) and still lost ~nothing -- strong evidence that at CYA 144 UV is almost fully shielded and demand here is essentially ALL organic load, not sun. A measurement-error explanation was raised and is WITHDRAWN: John confirmed his technique (continuous swirl, stop at the FIRST clear, never re-add; the pink does NOT return in this pool/kit), so the 'faded high-CYA endpoint' mechanism does not apply -- see POOL.md Testing method, do not re-raise it. IMPORTANT REFRAME: today is the FIRST POSITIVELY-LOGGED 'quiet' day and it lost 0.59. The other five 'quiet' entries (7/04-7/09) were Claude's inferred backfill and may well have had unrecorded load -- so the 3.07 'quiet baseline' is likely an artifact of quietly-loaded days, and the true clean-water baseline may be far lower (~0.5-1.5). Treat the quiet class as effectively n=1 until more days are positively tagged. NO DOSE: 16.8 is above aim 14 but inside safe-swim (~19); tomorrow with no dose discriminates -- ~13.8 = demand returned, ~16.2 = baseline really is near zero.</t>
        </is>
      </c>
      <c r="W77" s="12291" t="inlineStr">
        <is>
          <t>quiet</t>
        </is>
      </c>
    </row>
    <row r="78">
      <c r="A78" s="12257" t="inlineStr">
        <is>
          <t>2026-07-21</t>
        </is>
      </c>
      <c r="B78" s="12258" t="inlineStr">
        <is>
          <t>12:00</t>
        </is>
      </c>
      <c r="C78" s="12258" t="inlineStr">
        <is>
          <t>TEST</t>
        </is>
      </c>
      <c r="D78" s="12259" t="n"/>
      <c r="E78" s="12259" t="n">
        <v>13.4</v>
      </c>
      <c r="F78" s="12259" t="n">
        <v>0.4</v>
      </c>
      <c r="G78" s="12259" t="n">
        <v>3.5</v>
      </c>
      <c r="H78" s="12259" t="n"/>
      <c r="I78" s="12260" t="n"/>
      <c r="J78" s="12261" t="n"/>
      <c r="K78" s="12261" t="n"/>
      <c r="L78" s="12261" t="n"/>
      <c r="M78" s="12259" t="n"/>
      <c r="N78" s="12259" t="n"/>
      <c r="O78" s="12259" t="n">
        <v>1.8</v>
      </c>
      <c r="P78" s="12262" t="n">
        <v>1.53</v>
      </c>
      <c r="Q78" s="12259" t="n"/>
      <c r="R78" s="12259" t="n">
        <v>76</v>
      </c>
      <c r="S78" s="12259" t="n">
        <v>15</v>
      </c>
      <c r="T78" s="813" t="inlineStr">
        <is>
          <t>Overcast, storm imminent and rain already starting (rain rings visible in today's photos). 74F, 80% RH; sun only 1.8h measured; high 76F; UV 6.2. Precip 1.53in measured so far, 1.93in forecast for the day -- PROVISIONAL, still accumulating; reconcile tomorrow from the ruler (level delta is ground truth for what actually lands in the pool).</t>
        </is>
      </c>
      <c r="U78" s="12258" t="inlineStr">
        <is>
          <t>2026-07-21_1.jpg;2026-07-21_2.jpg;2026-07-21_3.jpg;2026-07-21_4.jpg;2026-07-21_5.jpg</t>
        </is>
      </c>
      <c r="V78" s="813" t="inlineStr">
        <is>
          <t>12:00 PM. FC 13.4 (67 drops), CC 0.4, temp down to 76F. Mass balance: level 15.8 -&gt; 15.0 cm = -157 gal evaporation, NO rain yet at noon, so no dilution -- real chemical loss 3.48 ppm/24h (raw FC drop 3.4; the mass figure is slightly higher because evaporation concentrated what was left). *** FLAT-3.5 MODEL WAS RIGHT: predicted 13.3, actual 13.4, error +0.1 *** -- the best hit yet, and it vindicates flattening l24 rather than chasing structure. *** LOW-DEMAND WATCH RESOLVED = NOT SUPPORTED: *** yesterday's 0.59 looked like it might be a new low-demand regime (n=2 with 1.83); today's 3.48 breaks that cleanly. Correctly logged as a WATCH and NOT acted on -- exactly the right call, and the same discipline should apply to future n=2 patterns. Quiet class is now n=7 spanning 0.59-4.02: a ~3.4 ppm spread within a single load class, which is further evidence that daily loss is not predictable from anything we record. CC 0.0 -&gt; 0.4: CC tracks organic load CONCURRENTLY (chloramines form while chlorine is reacting) but has shown NO predictive value -- 0.4 preceded a high-loss day, then a low-loss day, and 0.0 preceded a high-loss day. Useful as a diagnostic of what just happened, useless as a forecast; do not build a predictor on it. Evaporation -157 gal on an overcast day vs -98 on a sunny one, so the level signal carries real noise (likely wind ahead of the front) -- treat single-day level deltas as +/- a few tens of gallons. STORM AHEAD: pool is 0.81 cm (~159 gal) below full, and ~1.9in of rain would put ~960 gal in, so expect it to fill and overflow ~800 gal -&gt; roughly -0.4 ppm of dilution, plus a possible organic wash-in demand spike (the 7/18 storm window ran 3.80). DOSE PLAN: 1.0 gal (model rec) -&gt; even if storm demand runs to ~5 ppm we land ~11.8, comfortably above floor 10. SAFETY: do not pour during active lightning -- skipping a night is acceptable here (undosed lands ~9.5, only marginally under floor at CYA 144).</t>
        </is>
      </c>
      <c r="W78" s="12263" t="inlineStr">
        <is>
          <t>quiet</t>
        </is>
      </c>
    </row>
    <row r="79">
      <c r="A79" s="12271" t="inlineStr">
        <is>
          <t>2026-07-21</t>
        </is>
      </c>
      <c r="B79" s="12272" t="inlineStr">
        <is>
          <t>12:25</t>
        </is>
      </c>
      <c r="C79" s="12272" t="inlineStr">
        <is>
          <t>DOSE</t>
        </is>
      </c>
      <c r="D79" s="12273" t="n"/>
      <c r="E79" s="12273" t="n"/>
      <c r="F79" s="12273" t="n"/>
      <c r="G79" s="12273" t="n"/>
      <c r="H79" s="12273" t="n">
        <v>13.7</v>
      </c>
      <c r="I79" s="12274" t="n"/>
      <c r="J79" s="12275" t="n"/>
      <c r="K79" s="12275" t="n"/>
      <c r="L79" s="12275" t="n"/>
      <c r="M79" s="12273" t="n">
        <v>1</v>
      </c>
      <c r="N79" s="12273" t="n">
        <v>31</v>
      </c>
      <c r="O79" s="12273" t="n"/>
      <c r="P79" s="12276" t="n"/>
      <c r="Q79" s="12273" t="n"/>
      <c r="R79" s="12273" t="n"/>
      <c r="S79" s="12273" t="n"/>
      <c r="T79" s="827" t="n"/>
      <c r="U79" s="12272" t="n"/>
      <c r="V79" s="827" t="inlineStr">
        <is>
          <t>12:25 PM, 1.0 gal poured. *** MIDDAY DOSE -- deliberate exception to the evening routine *** (only the 2nd non-evening dose of the season; the 7/11 1 PM dose was the other). Rationale: a storm was arriving, so pouring in light rain at midday was safer than threading a gap in a thunderstorm at 8 PM, and the two conditions that actually matter were both met -- pump running (7 AM-10 PM) so it mixes, and storm-dark overcast (only 1.8h sun all day, UV suppressed) so there is little UV to burn it off, which is the whole reason the routine prefers evening. Timing cost checked and negligible: dosing before the rain vs after changes tomorrow's FC by ~0.1 ppm, because the expected ~800 gal overflow dilutes the whole pool ~2.5% either way. Projected next-noon FC 13.7 (unadjusted -- our own analysis shows sun does not predict loss here, r=+0.16 n.s., so no daylight penalty was applied despite ~7 extra hours of exposure). *** CAVEAT FOR SCORING: this is a midday dose under an incoming storm, so if tomorrow misses, weigh dose-timing and storm wash-in BEFORE concluding the model is wrong. *** Season total 31.0 gal. Reconcile actual rainfall tomorrow from the ruler (level delta is ground truth); pool was 0.81 cm (~159 gal) below full at noon, so expect it to fill and overflow.</t>
        </is>
      </c>
      <c r="W79" s="12277" t="n"/>
    </row>
    <row r="80">
      <c r="A80" s="12243" t="inlineStr">
        <is>
          <t>2026-07-22</t>
        </is>
      </c>
      <c r="B80" s="12244" t="inlineStr">
        <is>
          <t>11:55</t>
        </is>
      </c>
      <c r="C80" s="12244" t="inlineStr">
        <is>
          <t>TEST</t>
        </is>
      </c>
      <c r="D80" s="12245" t="n"/>
      <c r="E80" s="12245" t="n">
        <v>16.6</v>
      </c>
      <c r="F80" s="12245" t="n">
        <v>0.2</v>
      </c>
      <c r="G80" s="12245" t="n">
        <v>0.4</v>
      </c>
      <c r="H80" s="12245" t="n"/>
      <c r="I80" s="12246" t="n">
        <v>2.9</v>
      </c>
      <c r="J80" s="12247" t="n"/>
      <c r="K80" s="12247" t="n"/>
      <c r="L80" s="12247" t="n"/>
      <c r="M80" s="12245" t="n"/>
      <c r="N80" s="12245" t="n"/>
      <c r="O80" s="12245" t="n">
        <v>8.4</v>
      </c>
      <c r="P80" s="12248" t="n">
        <v>0.19</v>
      </c>
      <c r="Q80" s="12245" t="n"/>
      <c r="R80" s="12245" t="n">
        <v>77</v>
      </c>
      <c r="S80" s="12245" t="n">
        <v>17</v>
      </c>
      <c r="T80" s="624" t="inlineStr">
        <is>
          <t>Clearing after a storm that largely missed -- only 0.189in measured (1.93in had been forecast). 8.4h sun, high 82F. Level rose 15.0 -&gt; 17.0 cm.</t>
        </is>
      </c>
      <c r="U80" s="12244" t="inlineStr">
        <is>
          <t>2026-07-22_1.jpg;2026-07-22_2.jpg;2026-07-22_3.jpg;2026-07-22_4.jpg;2026-07-22_5.jpg</t>
        </is>
      </c>
      <c r="V80" s="624" t="inlineStr">
        <is>
          <t>[CORRECTED 2026-07-23: FC set to the clean same-spot re-test value 16.6; the raw 11:55 reading of 17.6 carried the ~0.9 ppm bulk-add bias -- see the 12:35/12:50 QC rows. fc_loss/pred_error recomputed off 16.6.] 11:55 AM. FC 17.6 (88 drops), CC 0.2. Model predicted 13.7, Claude predicted 13.5; actual 17.6 = miss of +3.9/+4.1, the largest yet. *** PHYSICALLY INCONSISTENT: *** mass balance says chlorine ROSE. 31,241 gal x 13.4 = 418,629 ppm-gal, + 1.0 gal (max 125,000 for fresh 12.5%) = 543,629 available; observed 31,634 x 17.6 = 556,751. That is ~13,100 ppm-gal (10%) MORE than one gallon can deliver even with ZERO 24h demand. Magnitude in context: ~2 drops spread across the two readings, i.e. the edge of the test's resolution -- NOT a technique problem (John's method is fixed and reproduces; see the standing rule in Testing method). *** VOLUME TESTED AND EXONERATED: *** solved for the volume that makes dose-day and no-dose-day losses agree across all 12 pairs. At 31,400 the gap is only +0.33 ppm, and the loss scatter is IDENTICAL (sd ~1.57) anywhere from 26,000 to 33,000 gal -- volume explains NONE of the variance, and the aggregate mildly prefers a LARGER pool (~33,000), the opposite of what today alone implies (~28,100). CONCLUSION: today is an OUTLIER, not a parameter error; volume stays 31,400 and l24 stays 3.5. Do not re-tune on this. Rain: feed 0.189in but pool gained 393 gal = ~0.79in equivalent -- the SECOND time (7/18: 0.59in vs 1.81in) the pool has gained 3-4x grid rainfall, consistent with deck runoff draining in; n=2, watch it. No overflow (level rose and held at 17.0, above the 15.81 full mark). NO DOSE: 17.6 is above aim 14, inside safe-swim ~19, CC 0.2 low, water clear. NEXT: John photographing the jug label (strength/size is the one parameter never verified), then the controlled dose-response test on the last gallon of the current case to measure ppm/gal directly.</t>
        </is>
      </c>
      <c r="W80" s="12249" t="inlineStr">
        <is>
          <t>storm</t>
        </is>
      </c>
    </row>
    <row r="81">
      <c r="A81" s="12278" t="inlineStr">
        <is>
          <t>2026-07-22</t>
        </is>
      </c>
      <c r="B81" s="12279" t="inlineStr">
        <is>
          <t>12:35</t>
        </is>
      </c>
      <c r="C81" s="12279" t="inlineStr">
        <is>
          <t>TEST</t>
        </is>
      </c>
      <c r="D81" s="12280" t="n"/>
      <c r="E81" s="12280" t="n">
        <v>15.8</v>
      </c>
      <c r="F81" s="12280" t="n"/>
      <c r="G81" s="12280" t="n"/>
      <c r="H81" s="12280" t="n"/>
      <c r="I81" s="12281" t="n"/>
      <c r="J81" s="12282" t="n"/>
      <c r="K81" s="12282" t="n"/>
      <c r="L81" s="12282" t="n"/>
      <c r="M81" s="12280" t="n"/>
      <c r="N81" s="12280" t="n"/>
      <c r="O81" s="12280" t="n"/>
      <c r="P81" s="12283" t="n"/>
      <c r="Q81" s="12280" t="n"/>
      <c r="R81" s="12280" t="n"/>
      <c r="S81" s="12280" t="n"/>
      <c r="T81" s="659" t="n"/>
      <c r="U81" s="12279" t="n"/>
      <c r="V81" s="659" t="inlineStr">
        <is>
          <t>QC re-test #1 -- GREEN spot (opposite long side, mid-pool), slow deliberate drops throughout, NO bulk-add. 79 drops. Paired with the 12:50 red-spot test to separate LOCATION from TECHNIQUE. vs red/slow (83 drops) = 4 drops = 0.80 ppm cross-pool difference; decay over the ~15 min between them is negligible (~0.15 drops). Note this is a genuinely NEW measurement: the 7/19 split test (58 vs 57) compared two spots on the SAME side, so it could not have detected a cross-pool gradient. Since John always samples the red spot, this is a CONSTANT offset that cancels out of day-to-day loss math -- consistency of location matters more than which location is 'right'. Keep using red.</t>
        </is>
      </c>
      <c r="W81" s="12284" t="inlineStr">
        <is>
          <t>storm</t>
        </is>
      </c>
    </row>
    <row r="82">
      <c r="A82" s="12250" t="inlineStr">
        <is>
          <t>2026-07-22</t>
        </is>
      </c>
      <c r="B82" s="12251" t="inlineStr">
        <is>
          <t>12:50</t>
        </is>
      </c>
      <c r="C82" s="12251" t="inlineStr">
        <is>
          <t>TEST</t>
        </is>
      </c>
      <c r="D82" s="12252" t="n"/>
      <c r="E82" s="12252" t="n">
        <v>16.6</v>
      </c>
      <c r="F82" s="12252" t="n"/>
      <c r="G82" s="12252" t="n"/>
      <c r="H82" s="12252" t="n"/>
      <c r="I82" s="12253" t="n"/>
      <c r="J82" s="12254" t="n"/>
      <c r="K82" s="12254" t="n"/>
      <c r="L82" s="12254" t="n"/>
      <c r="M82" s="12252" t="n"/>
      <c r="N82" s="12252" t="n"/>
      <c r="O82" s="12252" t="n"/>
      <c r="P82" s="12255" t="n"/>
      <c r="Q82" s="12252" t="n"/>
      <c r="R82" s="12252" t="n"/>
      <c r="S82" s="12252" t="n"/>
      <c r="T82" s="631" t="n"/>
      <c r="U82" s="12251" t="n"/>
      <c r="V82" s="631" t="inlineStr">
        <is>
          <t>QC re-test #2 -- RED spot (John's regular spot, same as the 11:55 noon test), slow deliberate drops throughout, NO bulk-add. 83 drops. *** THIS IS THE CORRECTED CANONICAL VALUE FOR 2026-07-22 -- use 16.6, not the 11:55 reading of 17.6, as the baseline for tomorrow's loss. *** TECHNIQUE BIAS QUANTIFIED: same spot, 55 min apart, 88 drops (bulk-add) vs 83 (slow) = 5.0 drops raw; decay over 55 min accounts for only 0.6 drops, so bulk-adding ~50 drops at once reads +4.4 drops = +0.87 ppm HIGH. Mechanism: rapidly squeezed drops are smaller than slow gravity-formed ones, so more are needed to reach the endpoint. *** THIS RESOLVES THE 7/22 ANOMALY: *** with 16.6 the 24h mass balance gives loss +0.59 ppm (physical, and identical to 7/19-&gt;7/20) instead of -0.42 ppm (impossible). NOT a pool-chemistry mystery and NOT a volume error -- a titration artefact. IMPLICATION: because the bulk-add was used 'often' but not always, it injected ~0.9 ppm of VARIABLE bias into readings, which propagates to ~+/-1.2 ppm on every computed daily loss -- comparable to the entire observed loss scatter (sd 1.57). Much of the 'unpredictable demand' we chased for a week may be measurement noise. PROCEDURE NOW STANDARDISED: all drops slow and deliberate, bottle vertical, no bulk-adding, same (red) spot. FALSIFIABLE PREDICTION: loss scatter should fall from ~1.57 toward ~1.0 or below over the next 1-2 weeks; if it does not, the demand variance is real and the measurement is exonerated.</t>
        </is>
      </c>
      <c r="W82" s="12256" t="inlineStr">
        <is>
          <t>storm</t>
        </is>
      </c>
    </row>
    <row r="83">
      <c r="A83" s="12292" t="inlineStr">
        <is>
          <t>2026-07-23</t>
        </is>
      </c>
      <c r="B83" s="12293" t="inlineStr">
        <is>
          <t>12:15</t>
        </is>
      </c>
      <c r="C83" s="12293" t="inlineStr">
        <is>
          <t>TEST</t>
        </is>
      </c>
      <c r="D83" s="12294" t="n"/>
      <c r="E83" s="12294" t="n">
        <v>15.6</v>
      </c>
      <c r="F83" s="12294" t="n">
        <v>0.4</v>
      </c>
      <c r="G83" s="12294" t="n">
        <v>1.1</v>
      </c>
      <c r="H83" s="12294" t="n"/>
      <c r="I83" s="12295" t="n"/>
      <c r="J83" s="12296" t="n"/>
      <c r="K83" s="12296" t="n"/>
      <c r="L83" s="12296" t="n"/>
      <c r="M83" s="12294" t="n"/>
      <c r="N83" s="12294" t="n"/>
      <c r="O83" s="12294" t="n"/>
      <c r="P83" s="12297" t="n">
        <v>0</v>
      </c>
      <c r="Q83" s="12294" t="n"/>
      <c r="R83" s="12294" t="n">
        <v>78</v>
      </c>
      <c r="S83" s="12294" t="n">
        <v>16.5</v>
      </c>
      <c r="T83" s="1199" t="inlineStr">
        <is>
          <t>Beautiful clear sunny day (John), quiet. weather.py: clear, 75F, 49% RH, sun 6.2h of 7h daylight so far at noon (89%), high 77F, 0.00in precip, UV 7.5. dose.py bucket sunny. Sun left blank (full-day total not in yet; sun is not a loss predictor here anyway).</t>
        </is>
      </c>
      <c r="U83" s="12293" t="inlineStr">
        <is>
          <t>2026-07-23_1.jpg;2026-07-23_2.jpg;2026-07-23_3.jpg;2026-07-23_4.jpg;2026-07-23_5.jpg</t>
        </is>
      </c>
      <c r="V83" s="1199" t="inlineStr">
        <is>
          <t>12:15 PM. FC 15.6 (78 drops), CC 0.4. SLOW deliberate drops at the usual red spot -- the new standard, first FULLY clean same-technique loss measurement. Mass balance 7/22 (corrected 16.6) -&gt; 7/23 (15.6), no dose, level 17.0-&gt;16.5 (-98 gal evap, no rain): real loss = 1.05 ppm/24h (raw drop 1.0). This is the 2nd positively-logged clean quiet day at LOW loss (7/19-&gt;20 = 0.59); both far below the flat l24=3.5, which over-estimated today by 2.4 ppm. Pattern strengthening that genuine quiet-day demand here is ~1 ppm/day and the 3.54 dataset mean was inflated by event days + bulk-add noise. *** NOT retuning l24 -- n=2 clean, and I have over-fit this repeatedly; need several more clean quiet days first. *** Handling it by policy, not model: FC 15.6 is above aim 14, and at ~1 ppm/day it coasts ~15.6/14.6/13.6/12.6 over the next few quiet days, so NO dose for several days -- reactive dosing when FC nears the floor naturally right-sizes for low demand with no model change. Scatter-test watch (set 7/22, predicting scatter falls toward ~1.0 as bulk-add is removed): first two clean quiet losses 0.59 &amp; 1.05 are low and tight -- encouraging but far too few to judge; keep accumulating. CC 0.4, bouncing 0.0-0.4 all week with no trend, well under the 0.5 flag; high FC keeps it in check. Level 16.5 cm, above the 15.81 reference, pool full, no overflow (John's tape maxes at 17.0 -- getting close, needs a longer strip before the next big rain). PHOTOS(5): bright sun, sharp caustics, water crystal clear to the bottom, one small leaf, no algae/cloud. Dose-response test (last Austin's gal) still pending -- FC needs to drift to ~11-14 first, several days out at this loss rate.</t>
        </is>
      </c>
      <c r="W83" s="12298" t="inlineStr">
        <is>
          <t>quiet</t>
        </is>
      </c>
    </row>
    <row r="84">
      <c r="A84" s="12243" t="inlineStr">
        <is>
          <t>2026-07-24</t>
        </is>
      </c>
      <c r="B84" s="12244" t="inlineStr">
        <is>
          <t>12:20</t>
        </is>
      </c>
      <c r="C84" s="12244" t="inlineStr">
        <is>
          <t>TEST</t>
        </is>
      </c>
      <c r="D84" s="12245" t="n"/>
      <c r="E84" s="12245" t="n">
        <v>11.6</v>
      </c>
      <c r="F84" s="12245" t="n">
        <v>0.2</v>
      </c>
      <c r="G84" s="12245" t="n">
        <v>4.1</v>
      </c>
      <c r="H84" s="12245" t="n"/>
      <c r="I84" s="12246" t="n"/>
      <c r="J84" s="12247" t="n"/>
      <c r="K84" s="12247" t="n"/>
      <c r="L84" s="12247" t="n"/>
      <c r="M84" s="12245" t="n"/>
      <c r="N84" s="12245" t="n"/>
      <c r="O84" s="12245" t="n"/>
      <c r="P84" s="12248" t="n">
        <v>0</v>
      </c>
      <c r="Q84" s="12245" t="n"/>
      <c r="R84" s="12245" t="n">
        <v>78</v>
      </c>
      <c r="S84" s="12245" t="n">
        <v>15.8</v>
      </c>
      <c r="T84" s="624" t="inlineStr">
        <is>
          <t>Clear and sunny, 75F, 60% RH, sun 6.2h of 7h so far at noon, high 78F, 0.00in precip, UV 7.5. Loss window (7/23-&gt;7/24 noon) was two clear sunny days, no rain -- underlining that the big loss was NOT UV.</t>
        </is>
      </c>
      <c r="U84" s="12244" t="inlineStr">
        <is>
          <t>2026-07-24_1.jpg;2026-07-24_2.jpg;2026-07-24_3.jpg;2026-07-24_4.jpg;2026-07-24_5.jpg;2026-07-24_6.jpg</t>
        </is>
      </c>
      <c r="V84" s="624" t="inlineStr">
        <is>
          <t>12:20 PM. FC 11.6 (58 drops, slow technique), CC 0.2. Mass-balance loss 4.06 ppm/24h (15.6-&gt;11.6; level 16.5-&gt;15.8 = -137 gal evap, no rain). DOG EXPLANATION RETRACTED: the dog was in the pool ~25 SECONDS and AFTER the water sample was taken -- outside the loss window, NOT the cause. Claude jumped to the dog because it was visible in the photo, without checking timing (the recurring error; John caught it). Load corrected dog-&gt;QUIET. So this is a genuinely QUIET window (no rain, no storm, minimal use) that lost 4.06 ppm -- UNEXPLAINED, and not inventing a cause. This BREAKS the low-demand baseline leaned into 7/23: clean quiet days are now 0.59 / 1.05 / 4.06 = range 0.6-4.1, genuinely variable and NOT predictable from anything logged. Re-confirms the 7/20-7/21 conclusion (loss unpredictable; flat ~3.5 is the best available; operate reactively) that Claude had drifted from. 'dog' class weakens back to n=1 (7/10 6.89, cause now uncertain). CC 0.2 fine, water clear. DOSE: revert to model -- 1.5 gal (l24 3.5) -&gt; ~13.9 next noon; the earlier '1.0 gal for a quiet tomorrow' was based on the now-retracted low baseline.</t>
        </is>
      </c>
      <c r="W84" s="12249" t="inlineStr">
        <is>
          <t>quiet</t>
        </is>
      </c>
    </row>
    <row r="85">
      <c r="A85" s="12250" t="inlineStr">
        <is>
          <t>2026-07-24</t>
        </is>
      </c>
      <c r="B85" s="12251" t="inlineStr">
        <is>
          <t>19:55</t>
        </is>
      </c>
      <c r="C85" s="12251" t="inlineStr">
        <is>
          <t>DOSE</t>
        </is>
      </c>
      <c r="D85" s="12252" t="n"/>
      <c r="E85" s="12252" t="n"/>
      <c r="F85" s="12252" t="n"/>
      <c r="G85" s="12252" t="n"/>
      <c r="H85" s="12252" t="n">
        <v>13.9</v>
      </c>
      <c r="I85" s="12253" t="n"/>
      <c r="J85" s="12254" t="n"/>
      <c r="K85" s="12254" t="n"/>
      <c r="L85" s="12254" t="n"/>
      <c r="M85" s="12252" t="n">
        <v>1.5</v>
      </c>
      <c r="N85" s="12252" t="n">
        <v>32.5</v>
      </c>
      <c r="O85" s="12252" t="n"/>
      <c r="P85" s="12255" t="n"/>
      <c r="Q85" s="12252" t="n"/>
      <c r="R85" s="12252" t="n"/>
      <c r="S85" s="12252" t="n"/>
      <c r="T85" s="631" t="n"/>
      <c r="U85" s="12251" t="n"/>
      <c r="V85" s="631" t="inlineStr">
        <is>
          <t>7:55 PM, 1.5 gal poured (noon FC 11.6, aim 14). Back in the normal evening window (pump on until 10 PM, pool shaded after ~6:30). CASE BOUNDARY: this pour finished the last Austin's Pool Tec gallon plus ~0.5 gal of the first Champion case -- both 12.5%, so 3.84 ppm/gal either way and the mass balance is unaffected. Dose-response test deliberately SKIPPED tonight (a mixed-brand 1.5 gal pour is a poor before/after, and 1-gal resolution is only ~5%); run it once on a 1.5-2 gal night when settled into pure Champion stock -- now confirmatory only, since labels verified 12.5%/1 gal and both cases are ~4-5 weeks old. Projected next-noon FC 13.9 using flat l24 3.5. NOTE ON THE PREDICTION: after today, treat 3.5 as the honest average of a noisy process, not a forecast -- clean quiet-day losses run 0.59/1.05/4.06, so the plausible next-noon range is roughly 13-16.5. Dosed 1.5 rather than 1.0 precisely because loss can be ~4 on any day; the extra half gallon is buffer, and even a 4 ppm day lands ~13.4 (above floor 10). Season total 32.5 gal. OPEN LEAD: John will set up a trail cam in the next day or so to check for nocturnal wildlife (raccoon) using the pool -- a plausible, testable cause for the episodic unexplained spikes (a discrete overnight event fits a spike better than diffuse pollen/dust). If footage or dawn signs appear, add a 'wildlife' load tag and consider an evening test to split daytime vs overnight loss.</t>
        </is>
      </c>
      <c r="W85" s="12256" t="n"/>
    </row>
    <row r="86">
      <c r="A86" s="12292" t="inlineStr">
        <is>
          <t>2026-07-25</t>
        </is>
      </c>
      <c r="B86" s="12293" t="inlineStr">
        <is>
          <t>12:30</t>
        </is>
      </c>
      <c r="C86" s="12293" t="inlineStr">
        <is>
          <t>TEST</t>
        </is>
      </c>
      <c r="D86" s="12294" t="n"/>
      <c r="E86" s="12294" t="n">
        <v>14.6</v>
      </c>
      <c r="F86" s="12294" t="n">
        <v>0.3</v>
      </c>
      <c r="G86" s="12294" t="n">
        <v>2.8</v>
      </c>
      <c r="H86" s="12294" t="n"/>
      <c r="I86" s="12295" t="n">
        <v>0.7</v>
      </c>
      <c r="J86" s="12296" t="n"/>
      <c r="K86" s="12296" t="n"/>
      <c r="L86" s="12296" t="n"/>
      <c r="M86" s="12294" t="n"/>
      <c r="N86" s="12294" t="n"/>
      <c r="O86" s="12294" t="n">
        <v>13</v>
      </c>
      <c r="P86" s="12297" t="n">
        <v>0</v>
      </c>
      <c r="Q86" s="12294" t="n"/>
      <c r="R86" s="12294" t="n">
        <v>78</v>
      </c>
      <c r="S86" s="12294" t="n">
        <v>14.9</v>
      </c>
      <c r="T86" s="1199" t="inlineStr">
        <is>
          <t>Clear and sunny, 77F, 55% RH, sun 6.2h of 7h so far at noon, high 77F, 0.00in precip, UV 7.6. Loss window (7/24-&gt;7/25) sunny and dry throughout; 7/24 measured 13.0 sun hrs.</t>
        </is>
      </c>
      <c r="U86" s="12293" t="inlineStr">
        <is>
          <t>2026-07-25_1.jpg;2026-07-25_2.jpg;2026-07-25_3.jpg;2026-07-25_4.jpg</t>
        </is>
      </c>
      <c r="V86" s="1199" t="inlineStr">
        <is>
          <t>12:30 PM. FC 14.6 (73 drops, slow technique), CC ~0.3 (John: between 1 and 2 drops -- recorded as 0.3, treat as +/-0.1). Mass balance: 11.6 @ 31,398 gal + 1.5 gal dose - 14.6 @ 31,221 gal (level 15.8-&gt;14.9 = -177 gal evaporation, no rain) =&gt; real loss 3.06 ppm/24h. *** PREDICTION: 13.9 predicted vs 14.6 actual = +0.7, the model's 2nd-best hit *** (best was +0.1 on 7/21). Loss 3.06 sits almost exactly on the flat l24 3.5 -- further support for keeping the flat model rather than the low baseline briefly leaned into on 7/23. Clean quiet-day losses now 0.59 / 1.05 / 4.06 / 3.06: mean ~2.2 but range 0.6-4.1, i.e. genuinely variable. NOT retuning. TRAIL CAM: John set it out overnight 7/24-&gt;7/25 and it caught NOTHING (cam verified triggering). Weak evidence against the nocturnal-wildlife hypothesis for this window -- and notably this was a fairly ORDINARY loss night (3.06), so a no-visitor/normal-loss night is consistent with either explanation; the informative cases will be a big-loss night with a visitor (confirms) or a big-loss night with an empty cam (undercuts). Cam continuing. Evaporation -177 gal, the largest single-day yet (hot, dry, sunny); level 14.9 cm now below the 15.81 reference, pool ~0.9cm down, no top-off needed. NO DOSE: FC 14.6 is at/just above aim 14; at typical loss it lands ~11.5 tomorrow, above floor 10. PHOTOS(4): ruler confirms 14.9; some insect/leaf debris collecting at the skimmer -- normal, and a reminder that environmental organic input (not UV) is the plausible driver of the unexplained loss variance. Water clear.</t>
        </is>
      </c>
      <c r="W86" s="12298" t="inlineStr">
        <is>
          <t>quiet</t>
        </is>
      </c>
    </row>
    <row r="87">
      <c r="A87" s="12285" t="inlineStr">
        <is>
          <t>2026-07-26</t>
        </is>
      </c>
      <c r="B87" s="12286" t="inlineStr">
        <is>
          <t>12:25</t>
        </is>
      </c>
      <c r="C87" s="12286" t="inlineStr">
        <is>
          <t>TEST</t>
        </is>
      </c>
      <c r="D87" s="12287" t="n"/>
      <c r="E87" s="12287" t="n">
        <v>13.8</v>
      </c>
      <c r="F87" s="12287" t="n">
        <v>0.3</v>
      </c>
      <c r="G87" s="12287" t="n">
        <v>0.9</v>
      </c>
      <c r="H87" s="12287" t="n"/>
      <c r="I87" s="12288" t="n"/>
      <c r="J87" s="12289" t="n"/>
      <c r="K87" s="12289" t="n"/>
      <c r="L87" s="12289" t="n"/>
      <c r="M87" s="12287" t="n"/>
      <c r="N87" s="12287" t="n"/>
      <c r="O87" s="12287" t="n">
        <v>13</v>
      </c>
      <c r="P87" s="12290" t="n">
        <v>0</v>
      </c>
      <c r="Q87" s="12287" t="n"/>
      <c r="R87" s="12287" t="n">
        <v>77</v>
      </c>
      <c r="S87" s="12287" t="n">
        <v>14.3</v>
      </c>
      <c r="T87" s="1047" t="inlineStr">
        <is>
          <t>Clear and sunny, 78F, 34% RH (very dry), sun 6.2h of 7h so far at noon, high 79F, 0.00in precip, UV 7.5. Window 7/25-&gt;7/26 sunny and dry throughout (7/25 measured 13.0 sun hrs).</t>
        </is>
      </c>
      <c r="U87" s="12286" t="inlineStr">
        <is>
          <t>2026-07-26_1.jpg;2026-07-26_2.jpg;2026-07-26_3.jpg;2026-07-26_4.jpg</t>
        </is>
      </c>
      <c r="V87" s="1047" t="inlineStr">
        <is>
          <t>12:25 PM. FC 13.8 (69 drops, slow technique), CC ~0.3 (again between 1-2 drops; +/-0.1). No dose in window. Mass balance: 14.6 @ 31,221 -&gt; 13.8 @ 31,104 gal (level 14.9-&gt;14.3 = -118 gal evaporation, no rain) =&gt; real loss 0.85 ppm/24h -- the 2nd-lowest of the whole clean series. LOAD = swimmers (John: one person ~15 min, mostly soaking, little splashing, 7/25 afternoon). NOTABLE: the day WITH a swimmer had the LOWEST loss of the last four days -- so a short single-person soak is not a detectable load at this pool's scale, exactly as expected (~31,000 gal swamps it). Do NOT read this as swimmers reducing demand; it just confirms small loads sit far below the day-to-day noise. Clean-series quiet/light losses now 0.59 / 1.05 / 4.06 / 3.06 / 0.85 -- mean ~1.9, range 0.6-4.1, still genuinely variable with no predictor. TRAIL CAM night 2 (7/25-&gt;7/26): ONE trigger, a false positive, no animal detected. Cam verified working. This night was LOW loss (0.85), so an empty cam is CONSISTENT with the wildlife hypothesis and does not discriminate -- the informative case remains a BIG-loss night: with a visitor confirms, with an empty cam undercuts. Two clean nights banked so far; note the cam covers the steps/shallow end only, so a deep-end visitor or a small animal below the PIR threshold would not register. Evaporation -118 gal on a very dry (34% RH) day; level 14.3 cm, ~1.5cm below the reference mark, ~290 gal down -- NO top-off (heavy rain forecast Tuesday 7/28; ~2.1cm of headroom before John's tape maxes at 17.0). NO DOSE: FC 13.8 is right at aim 14; even a 4 ppm day lands ~9.8, only marginally under floor 10, and typical loss lands ~11-12. PHOTOS(4): water crystal clear to the bottom pool-wide, sharp caustics, no algae or cloudiness.</t>
        </is>
      </c>
      <c r="W87" s="12291" t="inlineStr">
        <is>
          <t>swimmers</t>
        </is>
      </c>
    </row>
    <row r="88">
      <c r="A88" s="12292" t="inlineStr">
        <is>
          <t>2026-07-27</t>
        </is>
      </c>
      <c r="B88" s="12293" t="inlineStr">
        <is>
          <t>12:30</t>
        </is>
      </c>
      <c r="C88" s="12293" t="inlineStr">
        <is>
          <t>TEST</t>
        </is>
      </c>
      <c r="D88" s="12294" t="n"/>
      <c r="E88" s="12294" t="n">
        <v>13.6</v>
      </c>
      <c r="F88" s="12294" t="n">
        <v>0.2</v>
      </c>
      <c r="G88" s="12294" t="n">
        <v>0.2</v>
      </c>
      <c r="H88" s="12294" t="n"/>
      <c r="I88" s="12295" t="n"/>
      <c r="J88" s="12296" t="n"/>
      <c r="K88" s="12296" t="n"/>
      <c r="L88" s="12296" t="n"/>
      <c r="M88" s="12294" t="n"/>
      <c r="N88" s="12294" t="n"/>
      <c r="O88" s="12294" t="n">
        <v>13</v>
      </c>
      <c r="P88" s="12297" t="n">
        <v>0</v>
      </c>
      <c r="Q88" s="12294" t="n"/>
      <c r="R88" s="12294" t="n">
        <v>78</v>
      </c>
      <c r="S88" s="12294" t="n">
        <v>13.8</v>
      </c>
      <c r="T88" s="1199" t="inlineStr">
        <is>
          <t>Mainly clear, 76F, 73% RH, sun 5.9h of 7h so far at noon, high 78F, 0.00in precip, UV 7.5. Window 7/26-&gt;7/27 sunny and dry (7/26 measured 13.0 sun hrs).</t>
        </is>
      </c>
      <c r="U88" s="12293" t="inlineStr">
        <is>
          <t>2026-07-27_1.jpg;2026-07-27_2.jpg;2026-07-27_3.jpg;2026-07-27_4.jpg;2026-07-27_5.jpg</t>
        </is>
      </c>
      <c r="V88" s="1199" t="inlineStr">
        <is>
          <t>12:30 PM. *** FC 13.6 IS A MIDPOINT, NOT AN EXACT COUNT: John lost count and is certain it was EITHER 67 drops (13.4) OR 69 (13.8); logged as 68 drops = 13.6, uncertainty +/-0.2 ppm. *** Perspective: every reading already carries ~+/-1 drop of endpoint judgement, so a bounded 68+/-1 is only modestly worse than a normal reading -- roughly 1.4x the usual uncertainty, not a different kind of number. DELIBERATELY did NOT use the loss model to pick between 67 and 69: that would make the datapoint partly model-derived and quietly contaminate the very dataset we use to test the model (circular). Midpoint + honest error bar instead. Loss is low either way: 69 drops -&gt; 0.04 ppm/24h, 67 -&gt; 0.44, midpoint 0.24 (level 14.3-&gt;13.8 = -98 gal evaporation, no rain, no dose). That is the LOWEST of the clean series. Clean-series losses now 0.59 / 1.05 / 4.06 / 3.06 / 0.85 / 0.24 -- note the last three are all under 1.1, the first sustained low-loss stretch; NOT calling it a trend (7/23 taught that lesson) but worth watching whether demand genuinely stays low now that mid-July's storm/smoke organics are gone. TRAIL CAM night 3 (repositioned to the whole-pool view from the shallow-end corner, covering steps + both long sides + deep end): NOTHING overnight; cam verified working because it recorded John retrieving it this morning. Again a LOW-loss night, so still non-discriminating -- 3 clean nights banked, and the informative case remains a BIG-loss night. CC 0.2 (down from 0.3), water clear. FORECAST CHANGED -- the 'heavy rain Tuesday' John expected has evaporated: 7/28 now 0.00in (38% prob), with modest rain moved to 7/29 (0.34in, 95%) and 7/30 (0.25in) = ~300 gal total, about +1.5cm. Level is 13.8cm, ~2.0cm (~400 gal) below the reference mark, so that rain would roughly restore it -- but if it underdelivers (the feed has been unreliable both directions), a top-off may be needed later this week. NO DOSE: FC 13.6 just under aim 14 and losses running &lt;1 ppm; expect ~12.5-13.5 tomorrow, well above floor 10.</t>
        </is>
      </c>
      <c r="W88" s="12298" t="inlineStr">
        <is>
          <t>quiet</t>
        </is>
      </c>
    </row>
    <row r="89">
      <c r="A89" s="12243" t="inlineStr">
        <is>
          <t>2026-07-28</t>
        </is>
      </c>
      <c r="B89" s="12244" t="inlineStr">
        <is>
          <t>13:25</t>
        </is>
      </c>
      <c r="C89" s="12244" t="inlineStr">
        <is>
          <t>TEST</t>
        </is>
      </c>
      <c r="D89" s="12245" t="n"/>
      <c r="E89" s="12245" t="n">
        <v>9.199999999999999</v>
      </c>
      <c r="F89" s="12245" t="n">
        <v>0.2</v>
      </c>
      <c r="G89" s="12245" t="n">
        <v>4.4</v>
      </c>
      <c r="H89" s="12245" t="n"/>
      <c r="I89" s="12246" t="n"/>
      <c r="J89" s="12247" t="n"/>
      <c r="K89" s="12247" t="n"/>
      <c r="L89" s="12247" t="n"/>
      <c r="M89" s="12245" t="n"/>
      <c r="N89" s="12245" t="n"/>
      <c r="O89" s="12245" t="n">
        <v>3</v>
      </c>
      <c r="P89" s="12248" t="n">
        <v>0.01</v>
      </c>
      <c r="Q89" s="12245" t="n"/>
      <c r="R89" s="12245" t="n">
        <v>80</v>
      </c>
      <c r="S89" s="12245" t="n">
        <v>13.7</v>
      </c>
      <c r="T89" s="624" t="inlineStr">
        <is>
          <t>Overcast and VERY humid, 79F, 82% RH; only 3.0h sun of 8h daylight (37%); high 79F, 0.01in precip so far, UV 7.5. Rain forecast overnight.</t>
        </is>
      </c>
      <c r="U89" s="12244" t="inlineStr">
        <is>
          <t>2026-07-28_1.jpg;2026-07-28_2.jpg;2026-07-28_3.jpg;2026-07-28_4.jpg;2026-07-28_5.jpg;2026-07-28_6.jpg;2026-07-28_7.jpg;2026-07-28_8.jpg</t>
        </is>
      </c>
      <c r="V89" s="624" t="inlineStr">
        <is>
          <t>1:25 PM. *** TWO back-to-back samples, SAME red spot, same slow technique, minutes apart: 36 drops (7.2) then 46 drops (9.2) -- a 10-drop / 2.0 ppm spread, far beyond the 1-drop resolution. CANONICAL VALUE SET TO 9.2 (the higher reading). *** Reason: insufficient DPD powder reads LOW and NEVER high -- if the powder cannot convert all the free chlorine to the pink dye, some chlorine is never counted and fewer FAS drops are needed. So when replicates disagree, the HIGHER value is the more likely truth. This bites THIS pool specifically because FC runs 13-18: the more chlorine, the more DPD powder needed to capture it, so a slightly light scoop matters far more at FC 15 than at FC 3. NOT an operator error -- John's technique is confirmed (see Testing method) and he reports doing nothing differently; this is the method operating near its capacity at high FC. FIX: heaping scoop of R-0870, and open the fresh jar if the current one is low (a near-empty jar makes consistent scoops harder). Revised loss = 4.41 ppm/24h (not the 6.41 the 7.2 implied) -- still a big day but not 2nd-largest. RETROSPECTIVE CAVEAT: if DPD scoop size has varied at all this season, it would inject LOW-biased noise into readings, which may account for part of the unexplained loss scatter -- flagged as a hypothesis, NOT established, do not retune anything on it. CC 0.2, water temp 78-&gt;80. Level 13.8-&gt;13.7 (flat, -20 gal). Photos: water CLEAR to the bottom, no green tint or cloudiness, no visible algae. EasyTest dip strip run as a cross-check: no precise value readable from a photo (colour shifts with lighting; strips saturate above ~5 ppm and are unreliable at high CYA), but pads are not saturated, consistent with a moderate FC. TRAIL CAM night 4 EMPTY -- and this is the FIRST big-loss night with camera coverage, the first genuinely discriminating result, and it UNDERCUTS the nocturnal-wildlife hypothesis (not conclusive: a small/distant animal may not trip the PIR). Even at 9.2 the FC/CYA ratio was 6.4%, below the ~7.5% algae-inhibition threshold -&gt; dosed promptly. *** CAUSE PARTLY IDENTIFIED (John, later 7/28): a DEAD MOUSE was removed from the pool at 7 AM this morning -- i.e. it was in the water during the loss window. Magnitude check, honestly: a ~25 g mouse holds ~6-8 g dry organic matter, which at typical oxidation demand consumes only ~0.15-0.6 ppm in 31,400 gal, so it is a REAL contributor but only ~5-15% of the 4.4 ppm -- it does NOT explain the whole day. Its bigger significance: it PROVES unseen organic input reaches this pool. A mouse got in, drowned and sat there with no camera, forecast or test able to reveal it -- so birds/chipmunks/frogs/etc. plausibly do the same. This also explains the empty trail cam on a big-loss night: a mouse will not reliably trip a PIR sensor and likely fell from the deck edge rather than using the steps, so the cam's negative result no longer undercuts animal-input as a CATEGORY (it still argues against a raccoon-sized visitor). Walls and steps checked: NO slime, nothing slippery, water clean; skimmer basket empty -&gt; no algae indication. DPD EVIDENCE STRENGTHENED: John reports he ALWAYS adds more powder than needed, and for the 2nd test added 'way more than needed' -- the only variable he changed between the two samples -- and the reading rose 36 -&gt; 46 drops. More powder -&gt; higher reading on the same water is exactly what DPD-limitation predicts, so his normal generous scoop may still be short at the FC 13-18 this pool runs. IMPLICATION (hypothesis, NOT acted on): FC may have read LOW all season, more so on high-FC days. Standard procedure now: deliberately HEAP the DPD powder, consistently. REAGENT CHANGEOVER PLAN (John): nearly out of both; will use the OLD liquid tomorrow to keep tests comparable, then switch. Claude's addition -- on switchover day run OLD and NEW side by side on the SAME sample (the ideal use for the last of the old bottle), so any step change is measured directly instead of being permanently ambiguous.</t>
        </is>
      </c>
      <c r="W89" s="12249" t="inlineStr">
        <is>
          <t>carcass; mouse</t>
        </is>
      </c>
    </row>
    <row r="90">
      <c r="A90" s="12250" t="inlineStr">
        <is>
          <t>2026-07-28</t>
        </is>
      </c>
      <c r="B90" s="12251" t="inlineStr">
        <is>
          <t>14:05</t>
        </is>
      </c>
      <c r="C90" s="12251" t="inlineStr">
        <is>
          <t>DOSE</t>
        </is>
      </c>
      <c r="D90" s="12252" t="n"/>
      <c r="E90" s="12252" t="n"/>
      <c r="F90" s="12252" t="n"/>
      <c r="G90" s="12252" t="n"/>
      <c r="H90" s="12252" t="n">
        <v>15.3</v>
      </c>
      <c r="I90" s="12253" t="n"/>
      <c r="J90" s="12254" t="n"/>
      <c r="K90" s="12254" t="n"/>
      <c r="L90" s="12254" t="n"/>
      <c r="M90" s="12252" t="n">
        <v>2.5</v>
      </c>
      <c r="N90" s="12252" t="n">
        <v>35</v>
      </c>
      <c r="O90" s="12252" t="n"/>
      <c r="P90" s="12255" t="n"/>
      <c r="Q90" s="12252" t="n"/>
      <c r="R90" s="12252" t="n"/>
      <c r="S90" s="12252" t="n"/>
      <c r="T90" s="631" t="n"/>
      <c r="U90" s="12251" t="n"/>
      <c r="V90" s="631" t="inlineStr">
        <is>
          <t>2:05 PM, 2.5 gal poured -- LARGEST single dose of the season, and deliberately a DAYTIME pour (2nd non-evening dose this month). Rationale: FC was below floor (7.2-9.2 vs floor 10, FC/CYA 5.0-6.4% against the ~7.5% needed to inhibit algae), the day was overcast (only 3.0h sun) so there was no meaningful UV penalty for dosing at 2 PM, pump running, and rain was due overnight. Waiting until 8 PM would have left the pool under-protected for 6 more hours for no benefit. Post-dose FC lands 16.8 (if 7.2 was true) to 18.8 (if 9.2 was true) -- both INSIDE safe-swim ~19, so the dose was correct under either reading. Projected next-noon 15.3 off the canonical 9.2 + 9.6 - 3.5. Season total 35.0 gal. *** TOMORROW IS THE DISCRIMINATOR: FC holding ~14-16 = a one-off organic demand event, burned through. FC crashing again = escalating demand, the signature of an early algae bloom -&gt; escalate (raise and HOLD FC at the top of the band, brush walls, check filter). *** Asked John to feel the walls/steps in shady corners for any slick film (early algae before it is visible) and to check the skimmer basket.</t>
        </is>
      </c>
      <c r="W90" s="12256" t="n"/>
    </row>
    <row r="91">
      <c r="A91" s="12292" t="inlineStr">
        <is>
          <t>2026-07-29</t>
        </is>
      </c>
      <c r="B91" s="12293" t="inlineStr">
        <is>
          <t>13:00</t>
        </is>
      </c>
      <c r="C91" s="12293" t="inlineStr">
        <is>
          <t>TEST</t>
        </is>
      </c>
      <c r="D91" s="12294" t="n"/>
      <c r="E91" s="12294" t="n">
        <v>17.8</v>
      </c>
      <c r="F91" s="12294" t="n">
        <v>0.2</v>
      </c>
      <c r="G91" s="12294" t="n">
        <v>0.6</v>
      </c>
      <c r="H91" s="12294" t="n"/>
      <c r="I91" s="12295" t="n">
        <v>2.5</v>
      </c>
      <c r="J91" s="12296" t="n"/>
      <c r="K91" s="12296" t="n"/>
      <c r="L91" s="12296" t="n"/>
      <c r="M91" s="12294" t="n"/>
      <c r="N91" s="12294" t="n"/>
      <c r="O91" s="12294" t="n">
        <v>0</v>
      </c>
      <c r="P91" s="12297" t="n">
        <v>0.63</v>
      </c>
      <c r="Q91" s="12294" t="n"/>
      <c r="R91" s="12294" t="n">
        <v>78</v>
      </c>
      <c r="S91" s="12294" t="n">
        <v>18</v>
      </c>
      <c r="T91" s="1199" t="inlineStr">
        <is>
          <t>Overcast, heavy rain overnight and into today. 71F, 89% RH, 0.0h sun of 7h daylight (0%), high 74F, 0.63in precip logged so far, UV 7.0.</t>
        </is>
      </c>
      <c r="U91" s="12293" t="inlineStr">
        <is>
          <t>2026-07-29_1.jpg;2026-07-29_2.jpg;2026-07-29_3.jpg;2026-07-29_4.jpg</t>
        </is>
      </c>
      <c r="V91" s="1199" t="inlineStr">
        <is>
          <t>1:00 PM. FC 17.8 (89 drops, DPD in visible excess -- new standard), CC 0.2. *** DISCRIMINATING TEST RESOLVED: NOT ALGAE. *** Mass balance across the dose and the rain: 9.2 @ 30,986 gal + 2.5 gal (312,500 ppm-gal) - 17.8 @ 31,830 gal =&gt; real chemical loss 0.99 ppm/24h. Yesterday's demand event was a genuine ONE-OFF that burned through -- an algae bloom produces ESCALATING demand, and instead demand collapsed straight back to the ~1 ppm low baseline. Walls/steps/skimmer were already clean yesterday and water is clear today, so algae is ruled out on both chemical and visual evidence. Supports the dead mouse (+ associated organic input) as the driver rather than anything ongoing. RAIN: level 13.7 -&gt; 18.0 cm = +844 gal = 1.69in equivalent, vs the feed's 0.63in -- the pool again received ~2.7x the grid figure, the THIRD such instance (7/18 3.1x, 7/22 4.2x, now 2.7x). Consistent with John's point about extreme local rainfall variability in his town; the ruler remains ground truth for water balance. LEVEL METHOD (confirmed by John): 18.0 is NOT an on-scale reading -- the water rose ABOVE the top of the tape (17.0), and John measured the extra 1 cm above it. So it is a legitimate measurement but slightly coarser than a normal scale reading; treat as ~18.0 +/-0.3. Materiality is LOW either way (at 17.0 the loss would be 1.10 vs 0.99 ppm, same conclusion). *** The tape has now actually been exceeded, so a longer strip is needed before the next big rain if we want to keep the water-balance math on-scale. *** CYA: 844 gal of rain into ~31,800 = 2.7% dilution, CYA ~144 -&gt; ~140; recheck is now overdue (last real anchor 7/12) and would tighten the band. PREDICTION: 15.3 predicted vs 17.8 actual = +2.5 -- the flat l24 3.5 over-predicted loss again on a day that only lost 1.0. NO DOSE: FC 17.8 is just under the ~19 safe-swim ceiling; FC/CYA ratio 12.7%, very well protected. Expect it to coast down over several days. PHOTOS(4): water clear to the bottom, rain rings on the surface, some leaves and small organic debris floating from the storm wash-in -- worth skimming, and a visible reminder of the environmental organic input that drives unexplained demand. DPD STANDARD IN FORCE: John confirms today's test was run with plenty of DPD powder and visible excess in the tube, so this is the FIRST reading taken under the new standard (and yesterday's canonical 9.2 was also the 'way more than needed' sample, so the two are comparable). Readings from 7/28 onward are on a consistent DPD basis; pre-7/28 readings may carry the low-bias described in the Testing method section.</t>
        </is>
      </c>
      <c r="W91" s="12298" t="inlineStr">
        <is>
          <t>storm</t>
        </is>
      </c>
    </row>
    <row r="92">
      <c r="A92" s="12285" t="inlineStr">
        <is>
          <t>2026-07-30</t>
        </is>
      </c>
      <c r="B92" s="12286" t="inlineStr">
        <is>
          <t>13:00</t>
        </is>
      </c>
      <c r="C92" s="12286" t="inlineStr">
        <is>
          <t>TEST</t>
        </is>
      </c>
      <c r="D92" s="12287" t="n"/>
      <c r="E92" s="12287" t="n">
        <v>16</v>
      </c>
      <c r="F92" s="12287" t="n">
        <v>0.5</v>
      </c>
      <c r="G92" s="12287" t="n">
        <v>1.8</v>
      </c>
      <c r="H92" s="12287" t="n"/>
      <c r="I92" s="12288" t="n"/>
      <c r="J92" s="12289" t="n"/>
      <c r="K92" s="12289" t="n"/>
      <c r="L92" s="12289" t="n"/>
      <c r="M92" s="12287" t="n"/>
      <c r="N92" s="12287" t="n"/>
      <c r="O92" s="12287" t="n">
        <v>1.5</v>
      </c>
      <c r="P92" s="12290" t="n">
        <v>0.05</v>
      </c>
      <c r="Q92" s="12287" t="n"/>
      <c r="R92" s="12287" t="n">
        <v>77</v>
      </c>
      <c r="S92" s="12287" t="n">
        <v>17.7</v>
      </c>
      <c r="T92" s="1047" t="inlineStr">
        <is>
          <t>Overcast, more rain lately. 72F, 79% RH, only 1.5h sun of 8h daylight (19%), high 77F, 0.05in precip so far, UV 2.6 (very low).</t>
        </is>
      </c>
      <c r="U92" s="12286" t="inlineStr">
        <is>
          <t>2026-07-30_1.jpg;2026-07-30_2.jpg;2026-07-30_3.jpg;2026-07-30_4.jpg</t>
        </is>
      </c>
      <c r="V92" s="1047" t="inlineStr">
        <is>
          <t>1:00 PM. FC 16.0 (80 drops), CC ~0.5 (John: 'around 0.5 I think'). *** REAGENT CHANGEOVER: this is the FIRST test on the NEW R-0871/R-0870 bottles. *** The planned old-vs-new side-by-side was NOT possible -- not enough of the old liquid left for two tests -- so the transition is unbracketed. Assessment: mass balance gives loss 1.83 ppm/24h (17.8 @ 31,830 gal -&gt; 16.0 @ 31,771 gal, no dose, net -59 gal), which sits comfortably inside the recent clean range (0.24-4.41), so there is NO LARGE step change from the new reagents. HONEST LIMIT: without the side-by-side we cannot separate a SMALL reagent offset from real loss -- e.g. real 1.0 + offset 0.8 is indistinguishable from real 1.8 + offset 0. So: no large discontinuity, but a sub-ppm offset cannot be excluded. Watch the next few days; if losses shift systematically low or high versus the prior baseline, suspect the reagent. Same procedure and DPD in visible excess, so the powder standard is unchanged across the switch. *** CC 0.5 -- AT the flag threshold *** (POOL.md: CC &gt;= 0.5 that PERSISTS = flag). Not alarmed and NO action yet, for three reasons: (1) two days of heavy storm wash-in have loaded the pool with organics, and chloramine formation is the expected result; (2) FC 16.0 is high and should oxidise them out; (3) CC is a small-difference measurement (2-3 drops) so the reagent change could itself shift it slightly, and John flagged his own reading as approximate. ACTION: watch it -- if CC stays &gt;= 0.5 for 2-3 days with FC high, that becomes a real flag worth acting on. Level 17.7 cm, still ABOVE the tape's 17.0 top so again partly estimated; John notes it went down and back up with the recent rain. NO DOSE: FC 16.0 is above aim 14 and well inside safe-swim ~19. PHOTOS(4): water clear to the bottom, robotic vacuum working the floor, some leaves/debris floating from the storm (John will skim), dog on the deck (not in the pool). CYA recheck still pending -- waiting for the weather to settle, no urgency at this FC.</t>
        </is>
      </c>
      <c r="W92" s="12291" t="inlineStr">
        <is>
          <t>storm</t>
        </is>
      </c>
    </row>
    <row r="93">
      <c r="A93" s="12292" t="inlineStr">
        <is>
          <t>2026-07-31</t>
        </is>
      </c>
      <c r="B93" s="12293" t="inlineStr">
        <is>
          <t>12:20</t>
        </is>
      </c>
      <c r="C93" s="12293" t="inlineStr">
        <is>
          <t>TEST</t>
        </is>
      </c>
      <c r="D93" s="12294" t="n"/>
      <c r="E93" s="12294" t="n">
        <v>14.2</v>
      </c>
      <c r="F93" s="12294" t="n">
        <v>0.3</v>
      </c>
      <c r="G93" s="12294" t="n">
        <v>1.8</v>
      </c>
      <c r="H93" s="12294" t="n"/>
      <c r="I93" s="12295" t="n"/>
      <c r="J93" s="12296" t="n"/>
      <c r="K93" s="12296" t="n"/>
      <c r="L93" s="12296" t="n"/>
      <c r="M93" s="12294" t="n"/>
      <c r="N93" s="12294" t="n"/>
      <c r="O93" s="12294" t="n">
        <v>13</v>
      </c>
      <c r="P93" s="12297" t="n">
        <v>0</v>
      </c>
      <c r="Q93" s="12294" t="n"/>
      <c r="R93" s="12294" t="n">
        <v>78</v>
      </c>
      <c r="S93" s="12294" t="n">
        <v>17.4</v>
      </c>
      <c r="T93" s="1199" t="inlineStr">
        <is>
          <t>Clear and sunny, 79F, 69% RH, sun 6.1h of 7h so far at noon (87%), high 80F, 0.00in precip, UV 7.2.</t>
        </is>
      </c>
      <c r="U93" s="12293" t="inlineStr">
        <is>
          <t>2026-07-31_1.jpg;2026-07-31_2.jpg;2026-07-31_3.jpg;2026-07-31_4.jpg;2026-07-31_5.jpg</t>
        </is>
      </c>
      <c r="V93" s="1199" t="inlineStr">
        <is>
          <t>12:20 PM. FC 14.2 (71 drops, DPD in visible excess), CC 0.3. Mass balance: 16.0 @ 31,771 -&gt; 14.2 @ 31,712 gal (level 17.7-&gt;17.4, -59 gal, no rain, no dose) =&gt; real loss 1.83 ppm/24h -- IDENTICAL to yesterday's 1.83. *** REAGENT CONTINUITY LOOKING GOOD: *** two consecutive days on the new R-0871/R-0870 both at 1.83, and both inside the pre-switch clean range (0.24-4.41). That does not prove a zero offset (still no side-by-side, and a constant offset would cancel out of day-to-day DIFFERENCES anyway), but it does show the new reagents are behaving consistently and the series remains usable. *** CC WATCH RESOLVED: 0.5 -&gt; 0.3, *** so yesterday's reading did NOT persist -- consistent with the storm-organics explanation (chloramines formed from the wash-in, then oxidised out by the high FC) rather than a reagent artefact or a developing problem. No action needed; CC back to its usual 0.2-0.3 band. FC 14.2 is right AT aim 14 (FC/CYA 10.1%), so NO DOSE today. At the current ~1.8 ppm/day it lands ~12.4 tomorrow (comfortably in band) and ~10.6 the day after (near floor 10), so *** expect to dose tomorrow or the day after *** -- and even a 4 ppm spike day from here only reaches ~10.2, still above floor, so holding today carries no real risk. Level 17.4 cm, still above the tape's 17.0 top so partly estimated; drifting down slowly from the storm peak. PHOTOS(5): water crystal clear to the bottom, sharp caustics, storm debris now skimmed (visibly cleaner than yesterday), no algae or cloudiness. CYA recheck still pending -- weather now settling, so a good opportunity in the next day or two; last real anchor 7/12 and ~140 estimated after rain dilution.</t>
        </is>
      </c>
      <c r="W93" s="12298" t="inlineStr">
        <is>
          <t>quiet</t>
        </is>
      </c>
    </row>
    <row r="94">
      <c r="A94" s="12243" t="inlineStr">
        <is>
          <t>2026-08-01</t>
        </is>
      </c>
      <c r="B94" s="12244" t="inlineStr">
        <is>
          <t>12:45</t>
        </is>
      </c>
      <c r="C94" s="12244" t="inlineStr">
        <is>
          <t>TEST</t>
        </is>
      </c>
      <c r="D94" s="12245" t="n">
        <v>7.7</v>
      </c>
      <c r="E94" s="12245" t="n">
        <v>13.2</v>
      </c>
      <c r="F94" s="12245" t="n">
        <v>0.5</v>
      </c>
      <c r="G94" s="12245" t="n">
        <v>1</v>
      </c>
      <c r="H94" s="12245" t="n"/>
      <c r="I94" s="12246" t="n"/>
      <c r="J94" s="12247" t="n">
        <v>120</v>
      </c>
      <c r="K94" s="12247" t="n"/>
      <c r="L94" s="12247" t="n">
        <v>148</v>
      </c>
      <c r="M94" s="12245" t="n"/>
      <c r="N94" s="12245" t="n"/>
      <c r="O94" s="12245" t="n">
        <v>13</v>
      </c>
      <c r="P94" s="12248" t="n">
        <v>0</v>
      </c>
      <c r="Q94" s="12245" t="n"/>
      <c r="R94" s="12245" t="n">
        <v>78</v>
      </c>
      <c r="S94" s="12245" t="n">
        <v>17.8</v>
      </c>
      <c r="T94" s="624" t="inlineStr">
        <is>
          <t>Partly cloudy, 82F, 68% RH, sun 7.0h of 8h so far (87%), high 83F, 0.00in precip today, UV 6.5. HEAVY afternoon THUNDERSTORM yesterday (7/31) -- level rose 17.4 -&gt; 17.8.</t>
        </is>
      </c>
      <c r="U94" s="12244" t="inlineStr">
        <is>
          <t>2026-08-01_1.jpg;2026-08-01_2.jpg;2026-08-01_3.jpg;2026-08-01_4.jpg</t>
        </is>
      </c>
      <c r="V94" s="624" t="inlineStr">
        <is>
          <t>12:45 PM. *** FULL PANEL *** -- pH 7.7, FC 13.2 (66 drops, DPD in visible excess), CC 0.5, TA 110-120, recorded as 120 (John saw PINK at 11 drops and RED at 12; Taylor's endpoint is green-&gt;RED, so 12 x10 = 120 is the procedural reading, but the pink/red call is subjective so 110 cannot be excluded -- and one drop = 10 ppm is the test's inherent resolution either way), CYA 148. Loss: 14.2 @ 31,712 -&gt; 13.2 @ 31,791 gal (thunderstorm added only ~79 gal, +0.4cm) =&gt; 0.97 ppm/24h, low, and the 3rd straight day in the 1-2 range on the new reagents. *** CYA 148 (74 diluted x2) -- John's best-executed CYA test yet *** using the new technique guidance (quick glances not staring, natural light over the shoulder, deliberate pour, 30s mix + 30s stand). vs 144 on 7/12 = STABLE within the test's ~+/-15%; do NOT read 144-&gt;148 as a real rise. dose.py cya_current updated 144 -&gt; 148; band moves only aim 14 -&gt; 15 (floor stays 10). FC/CYA now 8.9%. *** KEY FINDING -- TA HAS DROPPED HARD AND THE WATCH HAS REVERSED: *** TA 170 (6/24) -&gt; 120 raw now. CYA-corrected carbonate TA = TA - 148/3 = ~61 (if TA 110) to ~71 (if 120), versus ~120 in June. A very wet July diluted alkalinity (rain is ~alkalinity-free). The standing POOL.md trigger was written for HIGH TA (pH bouncing UP); the live risk is now the OPPOSITE -- low carbonate TA means weaker pH buffering and a pH that can drift/swing. ~61-71 is low-normal -- workable for vinyl, though the 61 end is near the comfortable minimum, and pH 7.7 is fine, so NO ACTION now. New trigger recorded: if pH drifts below ~7.2 or swings between tests, raise TA with baking soda (~4.7 lb per +10 ppm in this pool). Caveat: single measurement + approximate CYA correction -- confirm on the next panel. *** CYA MECHANISM CLARIFIED: *** anchors 150 -&gt; 144 -&gt; 148 are flat despite heavy rain, because rain dilutes only temporarily and evaporation re-concentrates; CYA mass leaves ONLY when water leaves (overflow/backwash/splash-out). Passive lowering will be slow. CC 0.5 again (was 0.5 on 7/30, 0.3 on 7/31) -- bouncing rather than persistent, and each 0.5 follows a storm, consistent with organic wash-in forming chloramines; the 1.0 gal dose raises FC to help oxidise them. Watch, not yet a flag. Level 17.8 cm, still above the tape's 17.0 top so partly estimated. PHOTOS(4): water clear to the bottom, some storm debris settled on the floor (vacuum will clear it), no algae or cloudiness. DOSE PLAN: 1.0 gal this evening -&gt; ~17.0, landing ~15.5 tomorrow (at aim), and ~13.0 even on a 4 ppm spike day. TA RANGE CLARIFIED (John, same day): the reading is 110 OR 120, not a precise 120 -- conclusion is unchanged either way (carbonate TA 61-71, well down from ~120 in June), but the lower end makes CONFIRMING TA ON THE NEXT PANEL more worthwhile before any baking-soda decision. *** TA AMBIGUITY RESOLVED (John, same day): he DID add one more drop at the pink and watched it go pink -&gt; RED at 12. Taylor's endpoint is green-&gt;red, so TA = 120 DEFINITIVELY, not 110. Carbonate TA = 120 - 148/3 = ~71 (the reassuring end of the earlier 61-71 range). Treat 120 as the figure.</t>
        </is>
      </c>
      <c r="W94" s="12249" t="inlineStr">
        <is>
          <t>storm</t>
        </is>
      </c>
    </row>
    <row r="95">
      <c r="A95" s="12250" t="inlineStr">
        <is>
          <t>2026-08-01</t>
        </is>
      </c>
      <c r="B95" s="12251" t="inlineStr">
        <is>
          <t>20:50</t>
        </is>
      </c>
      <c r="C95" s="12251" t="inlineStr">
        <is>
          <t>DOSE</t>
        </is>
      </c>
      <c r="D95" s="12252" t="n"/>
      <c r="E95" s="12252" t="n"/>
      <c r="F95" s="12252" t="n"/>
      <c r="G95" s="12252" t="n"/>
      <c r="H95" s="12252" t="n">
        <v>13.5</v>
      </c>
      <c r="I95" s="12253" t="n"/>
      <c r="J95" s="12254" t="n"/>
      <c r="K95" s="12254" t="n"/>
      <c r="L95" s="12254" t="n"/>
      <c r="M95" s="12252" t="n">
        <v>1</v>
      </c>
      <c r="N95" s="12252" t="n">
        <v>36</v>
      </c>
      <c r="O95" s="12252" t="n"/>
      <c r="P95" s="12255" t="n"/>
      <c r="Q95" s="12252" t="n"/>
      <c r="R95" s="12252" t="n"/>
      <c r="S95" s="12252" t="n"/>
      <c r="T95" s="631" t="n"/>
      <c r="U95" s="12251" t="n"/>
      <c r="V95" s="631" t="inlineStr">
        <is>
          <t>8:50 PM, 1.0 gal poured -- back in the normal evening window (pump on to 10 PM, pool shaded after ~6:30, and inside the 9:15 PM hard cutoff). First dose since 7/28's 2.5 gal catch-up, i.e. FC coasted 4 days from 17.8 down to 13.2 on ~1-2 ppm/day. Puts FC at ~17.0 now. *** TWO PREDICTIONS LOGGED, because the model and the recent data disagree: *** dose.py's projection is 13.5 (using the flat l24 3.5), but the last four measured losses were 0.99 / 1.83 / 1.83 / 0.97 -- averaging ~1.4 -- which would give ~15.6. pred_fc recorded as 13.5 per convention (the model's own number), but Claude's conditional expectation is ~15.5 and the honest range is 13-16. Scoring both again tomorrow. NOTE: the flat 3.5 has now over-predicted loss on most recent days; that is a real pattern forming across ~6 clean days on the new reagents, but it is NOT being acted on yet -- the same low-baseline read was leaned into on 7/23 and immediately broken by a 4.06 day. Needs a longer clean run before any retune. Season total 36.0 gal. FC 17.0 also helps oxidise the CC 0.5 seen at noon. Tomorrow: watch pH (now part of the routine given carbonate TA ~71 and weaker buffering) alongside the usual FC/CC/temp/level.</t>
        </is>
      </c>
      <c r="W95" s="12256" t="n"/>
    </row>
    <row r="96">
      <c r="A96" s="12292" t="inlineStr">
        <is>
          <t>2026-08-02</t>
        </is>
      </c>
      <c r="B96" s="12293" t="inlineStr">
        <is>
          <t>12:40</t>
        </is>
      </c>
      <c r="C96" s="12293" t="inlineStr">
        <is>
          <t>TEST</t>
        </is>
      </c>
      <c r="D96" s="12294" t="n">
        <v>7.8</v>
      </c>
      <c r="E96" s="12294" t="n">
        <v>15.8</v>
      </c>
      <c r="F96" s="12294" t="n">
        <v>0.4</v>
      </c>
      <c r="G96" s="12294" t="n">
        <v>1.3</v>
      </c>
      <c r="H96" s="12294" t="n"/>
      <c r="I96" s="12295" t="n">
        <v>2.3</v>
      </c>
      <c r="J96" s="12296" t="n"/>
      <c r="K96" s="12296" t="n"/>
      <c r="L96" s="12296" t="n"/>
      <c r="M96" s="12294" t="n"/>
      <c r="N96" s="12294" t="n"/>
      <c r="O96" s="12294" t="n">
        <v>2.8</v>
      </c>
      <c r="P96" s="12297" t="n">
        <v>0</v>
      </c>
      <c r="Q96" s="12294" t="n"/>
      <c r="R96" s="12294" t="n">
        <v>80</v>
      </c>
      <c r="S96" s="12294" t="n">
        <v>16.7</v>
      </c>
      <c r="T96" s="1199" t="inlineStr">
        <is>
          <t>Overcast, 80F, 80% RH, sun only 2.8h of 7h daylight (40%), high 80F, 0.00in precip, UV 6.5. More rain forecast overnight.</t>
        </is>
      </c>
      <c r="U96" s="12293" t="inlineStr">
        <is>
          <t>2026-08-02_1.jpg;2026-08-02_2.jpg;2026-08-02_3.jpg;2026-08-02_4.jpg;2026-08-02_5.jpg</t>
        </is>
      </c>
      <c r="V96" s="1199" t="inlineStr">
        <is>
          <t>12:40 PM. FC 15.8 (79 drops), CC 0.3-0.4 (recorded 0.4), pH 7.7-7.8 (recorded 7.8), temp up to 80F. Mass balance: 13.2 @ 31,791 + 1.0 gal - 15.8 @ 31,575 (level 17.8-&gt;16.7 = -216 gal, largest single-day evaporation yet, hot and dry) =&gt; real loss 1.44 ppm/24h. *** PREDICTION SCORECARD: model 13.5 (err +2.3) vs Claude's conditional ~15.6 (err +0.2). *** The recent-data estimate beat the flat model by an order of magnitude, the 2nd time in a row. *** SCATTER TEST (set 7/22) IS NOW SUPPORTED: *** the falsifiable prediction was that removing the bulk-add artefact would drop loss scatter from sd 1.57 toward ~1.0 or below. Last 5 clean same-technique losses: 0.99 / 1.83 / 1.83 / 0.97 / 1.44 -&gt; mean 1.41, *** sd 0.43 *** vs the earlier full-series 1.57. That is a large reduction and the first real support for the DPD/technique-noise hypothesis. CAVEATS, deliberately: only 5 days; this stretch happened to be free of major load events (the earlier series included dog/party/storm/mouse days that genuinely lost 4-7); so part of the tightening is calm conditions, not just cleaner measurement. STILL NOT RETUNING l24 -- the 7/23 lesson (leaned into a low baseline, broken the next day by 4.06) stands. Reframe recorded instead: the flat 3.5 is now best understood as a SAFETY BUFFER against spike days, not an expected loss (~1.4). Threshold for action: ~10 clean days holding this mean, then consider l24 ~2.0-2.5, keeping margin above the mean for event days. *** pH INTERFERENCE FLAG (important): *** phenol red is oxidised by chlorine above ~10 ppm, and FC was 15.8, so today's pH may read HIGH -- and this applies to essentially ALL season pH readings since FC routinely runs 13-18. FIX: add 1 drop R-0007 (thiosulfate) to the pH sample and swirl BEFORE the 5 drops of R-0004. This matters now that pH is being watched because of the low carbonate TA (~71) -- a chlorine-biased pH would mislead that watch. Asked John to re-run pH with the neutraliser step. Also note the comparator has no 7.7 patch (standards are 7.0/7.2/7.4/7.6/7.8/8.0), so 7.7 is an interpolation -- the ambiguity is inherent. NO DOSE: FC 15.8 is above aim 15 and well inside safe-swim ~19. Level 16.7 cm and falling fast on evaporation, but rain forecast overnight. *** pH INTERFERENCE HYPOTHESIS TESTED AND REJECTED (same day): *** John re-ran the pH test WITH 1 drop of R-0007 (thiosulfate) added and swirled before the phenol red, at FC 15.8 -- and got the SAME result, ~7.7-7.8. So chlorine is NOT biasing the pH reading at this pool's FC levels, the earlier flag is WITHDRAWN, and the R-0007 step is NOT needed routinely. Useful consequence: all season pH readings can be taken at face value, which matters now that pH is the watch signal for the low carbonate TA (~71). pH ~7.8 is the TOP of the ideal 7.2-7.8 band -- acceptable, NO action. FORWARD NOTE (coupling worth knowing before it bites): if pH ever climbs above ~8.0, the reflex fix is muriatic acid, but acid lowers TA as well as pH and carbonate TA is already low -- so the correct move would be a SMALL acid dose PLUS baking soda to hold TA, not acid alone. Conversely aeration raises pH without touching TA.</t>
        </is>
      </c>
      <c r="W96" s="12298" t="inlineStr">
        <is>
          <t>quiet</t>
        </is>
      </c>
    </row>
    <row r="97">
      <c r="A97" s="12243" t="inlineStr">
        <is>
          <t>2026-08-03</t>
        </is>
      </c>
      <c r="B97" s="12244" t="inlineStr">
        <is>
          <t>12:30</t>
        </is>
      </c>
      <c r="C97" s="12244" t="inlineStr">
        <is>
          <t>TEST</t>
        </is>
      </c>
      <c r="D97" s="12245" t="n">
        <v>7.8</v>
      </c>
      <c r="E97" s="12245" t="n">
        <v>12.6</v>
      </c>
      <c r="F97" s="12245" t="n">
        <v>0.5</v>
      </c>
      <c r="G97" s="12245" t="n">
        <v>3</v>
      </c>
      <c r="H97" s="12245" t="n"/>
      <c r="I97" s="12246" t="n"/>
      <c r="J97" s="12247" t="n"/>
      <c r="K97" s="12247" t="n"/>
      <c r="L97" s="12247" t="n"/>
      <c r="M97" s="12245" t="n"/>
      <c r="N97" s="12245" t="n"/>
      <c r="O97" s="12245" t="n">
        <v>0</v>
      </c>
      <c r="P97" s="12248" t="n">
        <v>2.89</v>
      </c>
      <c r="Q97" s="12245" t="n"/>
      <c r="R97" s="12245" t="n">
        <v>79</v>
      </c>
      <c r="S97" s="12245" t="n">
        <v>18.5</v>
      </c>
      <c r="T97" s="624" t="inlineStr">
        <is>
          <t>Storm. Heavy wind and rain overnight, drizzle and still storming at test time. 74F, 96% RH, 0.0h sun of 6h daylight, high 77F, feed logs 2.89in precip, UV 5.8.</t>
        </is>
      </c>
      <c r="U97" s="12244" t="inlineStr">
        <is>
          <t>2026-08-03_1.jpg;2026-08-03_2.jpg;2026-08-03_3.jpg;2026-08-03_4.jpg;2026-08-03_5.jpg</t>
        </is>
      </c>
      <c r="V97" s="624" t="inlineStr">
        <is>
          <t>12:30 PM. FC 12.6 (63 drops), CC 0.5, pH 7.8, temp 79F. Mass balance: 15.8 @ 31,575 -&gt; 12.6 @ 31,928 (level 16.7-&gt;18.5, +353 gal) =&gt; real chemical loss 3.04 ppm/24h (raw drop was 3.2; dilution accounts for the rest). *** STORM DAY BREAKS THE LOW-LOSS RUN -- AND THAT VALIDATES NOT RETUNING l24. *** The 6 clean days now read 0.99/1.83/1.83/0.97/1.44/3.04 (mean 1.68, sd 0.77). Had l24 been dropped to ~1.4 on the strength of the 5-day calm stretch, today would have under-dosed into a below-floor morning. The reframe holds: flat 3.5 is a SAFETY BUFFER sized for event days, not an expected loss. *** RAIN-FEED DISCREPANCY (overflow RULED OUT by John): *** the feed logs 2.89in (~1,442 gal, which would raise the level ~7.3cm) but the pool gained only ~353 gal (+1.8cm). *** THE POOL HAS NEVER OVERFLOWED IN 25 YEARS -- it would need ~23-24 cm, and John would drain via the filter long before that. Do NOT hypothesise overflow again. *** So the discrepancy is simply the FEED OVER-STATING local rain, by roughly 4x here. This is the same unreliability documented on 7/18 (0.59in feed vs 1.81in actual), 7/22 (0.19 vs 0.79) and 7/29 (0.63 vs 1.69) -- except those were UNDER-statements, so the feed is now confirmed unreliable in BOTH directions. The ruler remains sole ground truth for water balance. CONSEQUENCE: today's loss of 3.04 ppm stands as computed -- no water left the pool, so there is no chlorine-carry-out correction. pH 7.8 for the 2nd straight day, stable and at the top of the ideal band; John correctly did NOT add the R-0007 drop (the interference hypothesis was tested and rejected 8/02 -- the step is not needed). CC 0.5 again, and again immediately after a storm -- the established pattern (organic wash-in -&gt; chloramines), it has cleared within a day or two every previous time. DEBRIS: leaves and green plant matter visible floating and on the floor; John will fish it out once the weather calms. *** Removing it is the highest-value action available -- it is ongoing chlorine demand sitting in the water. *** DOSE PLAN: 1.5 gal -&gt; ~18.4 (under the ~19 ceiling), landing ~15.4 tomorrow even at a 3 ppm storm loss. Undosed, FC lands ~9.6 = BELOW FLOOR, so a dose is needed today. SAFETY: do NOT pour during active lightning -- wait for a clear window, and any time before the 10 PM pump-off works.</t>
        </is>
      </c>
      <c r="W97" s="12249" t="inlineStr">
        <is>
          <t>storm</t>
        </is>
      </c>
    </row>
    <row r="98">
      <c r="A98" s="12250" t="inlineStr">
        <is>
          <t>2026-08-03</t>
        </is>
      </c>
      <c r="B98" s="12251" t="inlineStr">
        <is>
          <t>18:35</t>
        </is>
      </c>
      <c r="C98" s="12251" t="inlineStr">
        <is>
          <t>DOSE</t>
        </is>
      </c>
      <c r="D98" s="12252" t="n"/>
      <c r="E98" s="12252" t="n"/>
      <c r="F98" s="12252" t="n"/>
      <c r="G98" s="12252" t="n"/>
      <c r="H98" s="12252" t="n">
        <v>14.9</v>
      </c>
      <c r="I98" s="12253" t="n"/>
      <c r="J98" s="12254" t="n"/>
      <c r="K98" s="12254" t="n"/>
      <c r="L98" s="12254" t="n"/>
      <c r="M98" s="12252" t="n">
        <v>1.5</v>
      </c>
      <c r="N98" s="12252" t="n">
        <v>37.5</v>
      </c>
      <c r="O98" s="12252" t="n"/>
      <c r="P98" s="12255" t="n"/>
      <c r="Q98" s="12252" t="n"/>
      <c r="R98" s="12252" t="n"/>
      <c r="S98" s="12252" t="n"/>
      <c r="T98" s="631" t="n"/>
      <c r="U98" s="12251" t="n"/>
      <c r="V98" s="631" t="inlineStr">
        <is>
          <t>6:35 PM, 1.5 gal poured -- earlier than the usual ~8 PM but well within the window (pool is shaded after ~6:30, pump runs to 10 PM, and the day had ZERO sun hours under storm cloud, so there was no UV penalty whatsoever). Sensible call to take the safe weather window rather than wait for a possible lightning risk later. Takes FC 12.6 -&gt; ~18.4, just under the ~19 safe-swim ceiling, which is the intended buffer: at a storm-level 3 ppm loss that lands ~15.4 tomorrow, and even a 6 ppm event day still clears the floor at ~12.4. Season total 37.5 gal. pred_fc 14.9 logged per convention (flat l24 3.5); Claude's conditional expectation is ~15.4 given today's measured storm loss of ~3.0, so the two are close for once -- because the model's buffer value and the actual event-day demand happen to coincide on storm days. That is exactly the case the flat 3.5 was retained for. STILL OUTSTANDING: the leaf/plant debris from the storm is still in the water and is ongoing chlorine demand -- removing it once the weather calms will do more for tomorrow's FC than the dose did. Tomorrow: usual FC/CC/pH/temp/level, and watch whether CC 0.5 clears as it has after every previous storm.</t>
        </is>
      </c>
      <c r="W98" s="12256" t="n"/>
    </row>
    <row r="99">
      <c r="A99" s="12292" t="inlineStr">
        <is>
          <t>2026-08-04</t>
        </is>
      </c>
      <c r="B99" s="12293" t="inlineStr">
        <is>
          <t>12:45</t>
        </is>
      </c>
      <c r="C99" s="12293" t="inlineStr">
        <is>
          <t>TEST</t>
        </is>
      </c>
      <c r="D99" s="12294" t="n">
        <v>7.8</v>
      </c>
      <c r="E99" s="12294" t="n">
        <v>17</v>
      </c>
      <c r="F99" s="12294" t="n">
        <v>0.3</v>
      </c>
      <c r="G99" s="12294" t="n">
        <v>1.3</v>
      </c>
      <c r="H99" s="12294" t="n"/>
      <c r="I99" s="12295" t="n">
        <v>2.1</v>
      </c>
      <c r="J99" s="12296" t="n"/>
      <c r="K99" s="12296" t="n"/>
      <c r="L99" s="12296" t="n"/>
      <c r="M99" s="12294" t="n"/>
      <c r="N99" s="12294" t="n"/>
      <c r="O99" s="12294" t="n">
        <v>13</v>
      </c>
      <c r="P99" s="12297" t="n">
        <v>0</v>
      </c>
      <c r="Q99" s="12294" t="n"/>
      <c r="R99" s="12294" t="n">
        <v>79</v>
      </c>
      <c r="S99" s="12294" t="n">
        <v>18</v>
      </c>
      <c r="T99" s="1199" t="inlineStr">
        <is>
          <t>Clear and sunny after the storm cleared. 78F, 66% RH, sun 7.1h of 8h so far (88%), high 82F, 0.00in precip, UV 7.4.</t>
        </is>
      </c>
      <c r="U99" s="12293" t="inlineStr">
        <is>
          <t>2026-08-04_1.jpg;2026-08-04_2.jpg;2026-08-04_3.jpg;2026-08-04_4.jpg</t>
        </is>
      </c>
      <c r="V99" s="1199" t="inlineStr">
        <is>
          <t>12:45 PM. FC 17.0 (85 drops), CC 0.3, pH 7.8, temp 79F. Level reported as '1.0' then corrected by John to 18.0 -- a typo; Claude flagged it rather than logging it, because 1.0 cm would have implied a 3,400 gal loss and would have skewed the loss calc from 1.53 to 3.49. Mass balance: 12.6 @ 31,928 + 1.5 gal - 17.0 @ 31,830 (level 18.5-&gt;18.0 = -98 gal evaporation, no rain) =&gt; real chemical loss 1.53 ppm/24h. *** POST-STORM DEMAND DID NOT PERSIST: *** yesterday's storm day ran 3.04, and I expected elevated demand again today (~3) -- instead it fell straight back to 1.53. So the storm's organic load was a ONE-DAY spike that burned through, the same shape as the 7/28 mouse event and the 7/19 storm. Debris removal very likely helped: today's photos show the leaf/plant matter GONE and the water crystal clear, versus visible debris yesterday. Both forecasts under-predicted: model 14.9 (err +2.1), Claude's conditional ~15.4 (err +1.6) -- I was wrong to assume storm demand carries into a second day, and the record now shows it does not. *** CC CLEARED AS PREDICTED: 0.5 -&gt; 0.3, *** the 4th consecutive time a post-storm CC 0.5 has resolved within a day or two without action. That pattern is now well established -- do not treat a single post-storm CC 0.5 as a flag. pH 7.8 for the THIRD straight day: genuinely stable, top of the ideal band, and reassuring given the low carbonate TA (~71) -- weak buffering has NOT yet produced any drift or swing, so no TA action. 7 clean same-technique losses now: 0.99/1.83/1.83/0.97/1.44/3.04/1.53 -&gt; mean 1.66, sd 0.68 (vs the pre-standard 1.57), so the tightening is holding even after absorbing a storm day. Still not retuning l24 -- 7 days, and the threshold set was ~10 clean days. NO DOSE: FC 17.0 is above aim 15 and inside safe-swim ~19; expect ~15.5 tomorrow at the recent ~1.5 rate.</t>
        </is>
      </c>
      <c r="W99" s="12298" t="inlineStr">
        <is>
          <t>quiet</t>
        </is>
      </c>
    </row>
    <row r="100">
      <c r="A100" s="12243" t="inlineStr">
        <is>
          <t>2026-08-05</t>
        </is>
      </c>
      <c r="B100" s="12244" t="inlineStr">
        <is>
          <t>13:00</t>
        </is>
      </c>
      <c r="C100" s="12244" t="inlineStr">
        <is>
          <t>TEST</t>
        </is>
      </c>
      <c r="D100" s="12245" t="n">
        <v>7.8</v>
      </c>
      <c r="E100" s="12245" t="n">
        <v>12.2</v>
      </c>
      <c r="F100" s="12245" t="n">
        <v>0.6</v>
      </c>
      <c r="G100" s="12245" t="n">
        <v>4.9</v>
      </c>
      <c r="H100" s="12245" t="n"/>
      <c r="I100" s="12246" t="n"/>
      <c r="J100" s="12247" t="n"/>
      <c r="K100" s="12247" t="n"/>
      <c r="L100" s="12247" t="n"/>
      <c r="M100" s="12245" t="n"/>
      <c r="N100" s="12245" t="n"/>
      <c r="O100" s="12245" t="n">
        <v>13</v>
      </c>
      <c r="P100" s="12248" t="n">
        <v>0</v>
      </c>
      <c r="Q100" s="12245" t="n"/>
      <c r="R100" s="12245" t="n">
        <v>80</v>
      </c>
      <c r="S100" s="12245" t="n">
        <v>16.9</v>
      </c>
      <c r="T100" s="624" t="inlineStr">
        <is>
          <t>Mainly clear, 80F, 57% RH, sun 7.0h of 8h so far (88%), high 81F, 0.00in precip, UV 6.7. VERY humid yesterday, following several days of rain and storms.</t>
        </is>
      </c>
      <c r="U100" s="12244" t="inlineStr">
        <is>
          <t>2026-08-05_1.jpg;2026-08-05_2.jpg;2026-08-05_3.jpg;2026-08-05_4.jpg;2026-08-05_5.jpg;2026-08-05_6.jpg</t>
        </is>
      </c>
      <c r="V100" s="624" t="inlineStr">
        <is>
          <t>1:00 PM. FC 12.2 (61 drops), CC 0.6 (season high), pH 7.8, temp 80F. Mass balance: 17.0 @ 31,830 -&gt; 12.2 @ 31,614 (level 18.0-&gt;16.9 = -216 gal evaporation, no rain, no dose) =&gt; real chemical loss 4.90 ppm/24h, one of the largest of the season. *** CAUSE IDENTIFIED -- AND FOR ONCE IT IS VISIBLE: *** John noticed a large quantity of black circular debris on the pool floor, ran the vacuum over it, and photographed the contents (now filed as debris/2026-08-05_1.jpg and _2.jpg, OFF the website): HUNDREDS of MILLIPEDES, curled into their characteristic flat spiral (the segmented banding is what he described as 'striped, curled up worms'), plus a crane fly, some larvae and plant matter. Also removed one small dead toad/frog floating today. This is the classic post-rain millipede migration -- after prolonged wet weather they move en masse and fall into pools in huge numbers, and this follows several days of rain and storms. (A few may be pill bugs, which curl into spheres rather than flat spirals, but the coils indicate millipedes.) HONEST MAGNITUDE NOTE: a rough estimate of the VISIBLE organisms comes to well under 4.9 ppm of demand, so the count either ran far higher than the photos suggest, or (more likely) they had been accumulating and decomposing on the bottom for some time before being noticed -- the loss reflects a period of decomposition, not one day's arrival. Either way this is a REAL identified cause, unlike the unexplained spikes of mid-July. CC 0.6 SUPPORTS IT: decomposing organisms release nitrogen compounds, which is exactly what forms chloramines -- so the season-high CC is a symptom of the same event, not an independent problem. Expect it to clear as FC is restored, exactly as the four previous post-storm CC 0.5s did. NOT a standalone flag. pH 7.8 for the 4th straight day -- still flat, so the low carbonate TA (~71) continues to hold fine; no TA action. DOSE PLAN: 1.5 gal -&gt; ~18.0, just under the ~19 ceiling, and still ~13.0 even if another 5 ppm day follows. FOLLOW-UPS for John: empty the vacuum bag/canister and check the skimmer and pump baskets (decomposing organisms trapped there keep consuming chlorine); keep vacuuming over the next few days since more will sink; and expect further arrivals while the ground stays saturated -- there is no practical prevention for a millipede migration beyond removing them promptly.</t>
        </is>
      </c>
      <c r="W100" s="12249" t="inlineStr">
        <is>
          <t>millipedes+carcass; dead frog</t>
        </is>
      </c>
    </row>
    <row r="101">
      <c r="A101" s="12250" t="inlineStr">
        <is>
          <t>2026-08-05</t>
        </is>
      </c>
      <c r="B101" s="12251" t="inlineStr">
        <is>
          <t>17:40</t>
        </is>
      </c>
      <c r="C101" s="12251" t="inlineStr">
        <is>
          <t>DOSE</t>
        </is>
      </c>
      <c r="D101" s="12252" t="n"/>
      <c r="E101" s="12252" t="n"/>
      <c r="F101" s="12252" t="n"/>
      <c r="G101" s="12252" t="n"/>
      <c r="H101" s="12252" t="n">
        <v>14.5</v>
      </c>
      <c r="I101" s="12253" t="n"/>
      <c r="J101" s="12254" t="n"/>
      <c r="K101" s="12254" t="n"/>
      <c r="L101" s="12254" t="n"/>
      <c r="M101" s="12252" t="n">
        <v>1.5</v>
      </c>
      <c r="N101" s="12252" t="n">
        <v>39</v>
      </c>
      <c r="O101" s="12252" t="n"/>
      <c r="P101" s="12255" t="n"/>
      <c r="Q101" s="12252" t="n"/>
      <c r="R101" s="12252" t="n"/>
      <c r="S101" s="12252" t="n"/>
      <c r="T101" s="631" t="n"/>
      <c r="U101" s="12251" t="n"/>
      <c r="V101" s="631" t="inlineStr">
        <is>
          <t>5:40 PM, 1.5 gal poured. Earlier than the usual ~8 PM but sound: it was OVERCAST at the time and late-afternoon sun angle is low anyway, so the UV cost is minimal; pump runs to 10 PM so it mixes fully. Takes FC 12.2 -&gt; ~18.0, just under the ~19 ceiling, deliberately buffered after today's 4.90 ppm millipede/frog load -- even a repeat 5 ppm day lands ~13.0. Season total 39.0 gal. *** FIRST DEBRIS PHOTOS FILED (debris/2026-08-05_3.jpg, _4.jpg): *** the canister John pulled and emptied this evening. IMPORTANT CAVEAT for the series -- this is only the SECOND HALF of today's vacuuming: he stopped the machine earlier to photograph the first (much denser) haul, so today's load is split across two sets and is NOT a clean single-day datapoint. Tomorrow will be the first full single sweep and the true start of the debris-photo series. Contents of this second half: a MODERATE pile of curled millipedes in one corner plus fine silt and plant matter on the mesh -- visibly LIGHTER than the morning haul, which is consistent with the bulk having already been collected. Load rating (Claude): morning HEAVY, evening MODERATE. Also filed photos/2026-08-05_6.jpg: the deep-end floor after vacuuming -- completely clean, floor clearly visible, no debris or algae, confirming the sweep worked. NEW ROUTINE NOW LIVE from tomorrow: test at noon -&gt; vacuum in; evening -&gt; canister out, photograph, empty, dose; overnight -&gt; charge. TOMORROW IS A REAL TEST: if loss falls back toward the ~1.5 baseline, today's 4.90 was largely the accumulated/decomposing load now removed; if it stays high, millipedes are still arriving and we keep vacuuming.</t>
        </is>
      </c>
      <c r="W101" s="12256" t="n"/>
    </row>
    <row r="102">
      <c r="A102" s="12292" t="inlineStr">
        <is>
          <t>2026-08-06</t>
        </is>
      </c>
      <c r="B102" s="12293" t="inlineStr">
        <is>
          <t>16:00</t>
        </is>
      </c>
      <c r="C102" s="12293" t="inlineStr">
        <is>
          <t>TEST</t>
        </is>
      </c>
      <c r="D102" s="12294" t="n">
        <v>7.8</v>
      </c>
      <c r="E102" s="12294" t="n">
        <v>16</v>
      </c>
      <c r="F102" s="12294" t="n">
        <v>0.4</v>
      </c>
      <c r="G102" s="12294" t="n">
        <v>1.9</v>
      </c>
      <c r="H102" s="12294" t="n"/>
      <c r="I102" s="12295" t="n"/>
      <c r="J102" s="12296" t="n"/>
      <c r="K102" s="12296" t="n"/>
      <c r="L102" s="12296" t="n"/>
      <c r="M102" s="12294" t="n"/>
      <c r="N102" s="12294" t="n"/>
      <c r="O102" s="12294" t="n">
        <v>6.3</v>
      </c>
      <c r="P102" s="12297" t="n">
        <v>0.17</v>
      </c>
      <c r="Q102" s="12294" t="n"/>
      <c r="R102" s="12294" t="n">
        <v>82</v>
      </c>
      <c r="S102" s="12294" t="n">
        <v>16.7</v>
      </c>
      <c r="T102" s="1199" t="inlineStr">
        <is>
          <t>Hot. Clear at test time, 86F air, 73% RH, sun 6.3h, high 88F, 0.17in precip earlier, UV 7.5. Water temp up to 82F, warmest in a while.</t>
        </is>
      </c>
      <c r="U102" s="12293" t="inlineStr">
        <is>
          <t>2026-08-06_1.jpg;2026-08-06_2.jpg;2026-08-06_3.jpg;2026-08-06_4.jpg;2026-08-06_5.jpg</t>
        </is>
      </c>
      <c r="V102" s="1199" t="inlineStr">
        <is>
          <t>*** 4:00 PM reading -- LATE, so the interval is 27h not 24h and the loss MUST be normalised. *** Raw mass balance across 1PM 8/5 -&gt; 4PM 8/6: 12.2 @ 31,614 + 1.5 gal - 16.0 @ 31,575 = 2.15 ppm over 27h =&gt; *** 1.91 ppm/24h normalised. *** (Level 16.9-&gt;16.7, only -39 gal, small because 0.17in of rain partly offset a hot day's evaporation.) *** YESTERDAY'S TEST ANSWERED: loss fell 4.90 -&gt; 1.91, straight back to the recent baseline (0.97-3.04). *** So the millipede spike was a ONE-OFF driven by ACCUMULATED, DECOMPOSING material that has now been vacuumed out -- not an ongoing surge. This is the same shape as every previous event (7/19 storm, 7/28 mouse, 8/03 storm): organic load spikes demand for exactly one day, then demand collapses back. That pattern is now well enough established to rely on. IMPORTANT NUANCE: millipedes are STILL ARRIVING -- John can see more on the bottom and the vacuum is running now -- yet loss is back to baseline. So daily removal is keeping pace with the arrival rate; the demand comes from material left to DECOMPOSE, not from material merely present. That is a strong argument for the new same-day-canister routine. Also removed 2 small LIVE frogs from the surface -- worth noting as PREVENTIVE: a live frog removed is a dead frog (and its organic load) avoided, exactly what happened on 8/05. FC 16.0 is above aim 15, so NO DOSE; even a 5 ppm spike day lands 11.0, above floor. pH 7.8 for the 5th straight day -- still flat, low carbonate TA (~71) continues to hold, no TA action. CC 0.4, down from yesterday's season-high 0.6, consistent with the load having been removed and the high FC burning off the chloramines. Water temp 82F on an 88F day. PHOTOS(4): water clear, no algae or cloudiness, scattered small dark specks visible on the floor = the millipedes John reports. *** DEBRIS SERIES -- FIRST FULL SINGLE-SWEEP DATAPOINT (debris/2026-08-06_1..3.jpg, 7 PM). LOAD RATING: HEAVY. *** A dense band of curled millipedes along the canister edge plus a green inchworm and assorted insect fragments -- comparable to yesterday morning's haul, so millipedes are STILL ARRIVING in quantity. *** KEY INSIGHT, and it changes how to read this series: TODAY WAS A HEAVY-DEBRIS DAY WITH A LOW LOSS (1.91). *** Yesterday was also heavy but lost 4.90. The difference is not the QUANTITY collected, it is the RESIDENCE TIME -- yesterday's material had been accumulating and decomposing on the floor for days before being noticed, whereas today's was removed within a day of arriving. So the debris photo alone will NOT predict loss; the driver is load x time-left-to-decompose. Practical consequence: the daily-removal routine is doing real work -- the pool is absorbing a heavy millipede fall at baseline demand. Also filed photos/2026-08-06_5.jpg: deep-end floor after this evening's vacuum, completely clean.</t>
        </is>
      </c>
      <c r="W102" s="12298" t="inlineStr">
        <is>
          <t>millipedes; heavy, same-day removal</t>
        </is>
      </c>
    </row>
    <row r="103">
      <c r="A103" s="12285" t="inlineStr">
        <is>
          <t>2026-08-07</t>
        </is>
      </c>
      <c r="B103" s="12286" t="inlineStr">
        <is>
          <t>12:30</t>
        </is>
      </c>
      <c r="C103" s="12286" t="inlineStr">
        <is>
          <t>TEST</t>
        </is>
      </c>
      <c r="D103" s="12287" t="n">
        <v>7.8</v>
      </c>
      <c r="E103" s="12287" t="n">
        <v>15.4</v>
      </c>
      <c r="F103" s="12287" t="n">
        <v>0.3</v>
      </c>
      <c r="G103" s="12287" t="n">
        <v>0.6</v>
      </c>
      <c r="H103" s="12287" t="n"/>
      <c r="I103" s="12288" t="n"/>
      <c r="J103" s="12289" t="n"/>
      <c r="K103" s="12289" t="n"/>
      <c r="L103" s="12289" t="n"/>
      <c r="M103" s="12287" t="n"/>
      <c r="N103" s="12287" t="n"/>
      <c r="O103" s="12287" t="n">
        <v>5.5</v>
      </c>
      <c r="P103" s="12290" t="n">
        <v>0.24</v>
      </c>
      <c r="Q103" s="12287" t="n"/>
      <c r="R103" s="12287" t="n">
        <v>83</v>
      </c>
      <c r="S103" s="12287" t="n">
        <v>16.3</v>
      </c>
      <c r="T103" s="1047" t="inlineStr">
        <is>
          <t>Hot and extremely humid -- John likens it to a rainforest. Clear at test time, 86F air, 70% RH, sun 5.5h, high 89F, 0.24in precip, UV 7.3. Water temp up to 83F.</t>
        </is>
      </c>
      <c r="U103" s="12286" t="inlineStr">
        <is>
          <t>2026-08-07_1.jpg;2026-08-07_2.jpg;2026-08-07_3.jpg;2026-08-07_4.jpg;2026-08-07_5.jpg</t>
        </is>
      </c>
      <c r="V103" s="1047" t="inlineStr">
        <is>
          <t>12:30 PM. *** TWO FC READINGS: 84 drops (16.8) then 77 drops (15.4). CANONICAL = 15.4, and NOT merely because John was more careful the second time -- 16.8 is PHYSICALLY IMPOSSIBLE. *** No dose has gone in since 8/05, so chlorine cannot increase: 16.0 @ 31,575 gal = 505,195 ppm-gal yesterday vs 16.8 @ 31,496 = 529,136 today, i.e. +23,941 ppm-gal of chlorine appearing from nowhere. 15.4 gives 485,041, a loss of 0.75 ppm/24h (0.64 ppm over the 20.5h interval, normalised) -- low but well inside the observed range (0.24-4.90). John's own instinct was right and the mass balance confirms it independently. *** THIS OVERRIDES THE STANDING 'TRUST THE HIGHER READING' RULE *** (POOL.md Testing method, set 7/28 on the basis that insufficient DPD reads LOW and never high). That heuristic assumed DPD limitation was the only error mode; a simple MISCOUNT reads high just as easily, and John reports losing track on the first attempt. Refined rule: CHECK THE MASS BALANCE FIRST -- physics beats the heuristic. Only fall back to 'trust the higher' when both candidate readings are physically admissible. *** JOHN'S HUMIDITY HYPOTHESIS -- half right: *** he is CORRECT that the extreme humidity is suppressing evaporation (level only 16.7-&gt;16.3 = -79 gal, versus -216 gal on recent dry days, and this is why levels have stopped falling). But humidity does NOT directly keep chlorine higher: FC is consumed by UV photolysis and oxidation demand, neither of which depends on air humidity. If anything the effect runs slightly the OTHER way -- evaporation removes pure water and CONCENTRATES the remaining chlorine, so a low-evaporation day gains ~0.1 ppm less concentration than a -216 gal day would. Negligible either way. The real reasons loss is low: baseline demand is genuinely low right now, and daily debris removal is keeping organic load out of the water. Removed another LIVE frog from the pool -- 3rd live amphibian in 2 days, all preventive (a live frog removed is a dead frog's load avoided). CC 0.3, pH 7.8 for the 6th straight day -- still flat, low carbonate TA (~71) continues to hold, no TA action. NO DOSE: FC 15.4 is right at aim 15; at the recent 0.75-1.9 rate it lands ~13.5-14.6 tomorrow, comfortably in band. PHOTOS(5): water crystal clear, floor clean with no debris visible -- the daily vacuum routine is plainly working. *** DPD RULED OUT AS A FACTOR (John, same day): *** he confirms he has been over-adding DPD well beyond the visible-excess standard, so powder limitation could NOT have caused today's discrepancy -- the 84-drop reading was a miscount, as he suspected. Logical consequence: with DPD reliably in excess, the 'reads low' mechanism is CLOSED for this pool, leaving MISCOUNTING (which reads HIGH) as the main remaining error mode -- so on future disagreements the HIGHER reading is the more suspect one, reversing the 7/28 rule. *** LIMITATION OF THE MASS-BALANCE CHECK (John's point, same day): *** he asked whether YESTERDAY's single reading (80 drops, 16.0) could equally have been a miscount. Tested: if 8/06 were really 84 drops (16.8), the two consecutive losses become 1.20 and 1.69 /24h instead of 1.91 and 0.75 -- BOTH scenarios are physically admissible and the data CANNOT distinguish them. *** So the mass balance only catches IMPOSSIBLE readings, never merely wrong ones. *** Today's error was caught only because it was large enough to imply chlorine creating itself; a 2-3 drop miscount stays plausible and is undetectable. MITIGATING: the error is self-cancelling across the pair (both scenarios average ~1.3 ppm/24h over the two days), so a miscount shifts loss BETWEEN adjacent days without distorting the multi-day trend -- individual daily figures carry more uncertainty than their decimal places imply, but the trend is robust. This is the argument for deliberate counting on every test, which is now John's standing practice. *** DEBRIS SERIES (debris/2026-08-07_1..3.jpg). LOAD: HEAVY *** -- another dense band of curled millipedes plus a beetle, larvae and plant matter, comparable to 8/06. So the millipede fall is STILL running at full strength. *** Yet today's loss was only 0.75 ppm/24h -- the LOWEST of the recent series. *** That is now a 3-day pattern (8/05 heavy+accumulated = 4.90; 8/06 heavy+same-day = 1.91; 8/07 heavy+same-day = 0.75) and it firmly supports the 8/06 finding: what costs chlorine is RESIDENCE TIME, not quantity collected. Same-day removal is neutralising a heavy, sustained organic input.</t>
        </is>
      </c>
      <c r="W103" s="12291" t="inlineStr">
        <is>
          <t>millipedes; heavy, same-day removal</t>
        </is>
      </c>
    </row>
    <row r="104">
      <c r="A104" s="12257" t="inlineStr">
        <is>
          <t>2026-08-08</t>
        </is>
      </c>
      <c r="B104" s="12258" t="inlineStr">
        <is>
          <t>12:30</t>
        </is>
      </c>
      <c r="C104" s="12258" t="inlineStr">
        <is>
          <t>TEST</t>
        </is>
      </c>
      <c r="D104" s="12259" t="n">
        <v>7.7</v>
      </c>
      <c r="E104" s="12259" t="n">
        <v>12.6</v>
      </c>
      <c r="F104" s="12259" t="n">
        <v>0.4</v>
      </c>
      <c r="G104" s="12259" t="n">
        <v>2.8</v>
      </c>
      <c r="H104" s="12259" t="n"/>
      <c r="I104" s="12260" t="n"/>
      <c r="J104" s="12261" t="n"/>
      <c r="K104" s="12261" t="n"/>
      <c r="L104" s="12261" t="n"/>
      <c r="M104" s="12259" t="n"/>
      <c r="N104" s="12259" t="n"/>
      <c r="O104" s="12259" t="n">
        <v>13</v>
      </c>
      <c r="P104" s="12262" t="n">
        <v>0.05</v>
      </c>
      <c r="Q104" s="12259" t="n"/>
      <c r="R104" s="12259" t="n">
        <v>83</v>
      </c>
      <c r="S104" s="12259" t="n">
        <v>16</v>
      </c>
      <c r="T104" s="813" t="inlineStr">
        <is>
          <t>Storms overnight -- a little rain plus WIND, which blew leaf debris into the pool. Clear by test time: 82F, 74% RH, sun 6.0h of 7h so far (86%), high 85F, UV 7.3. Water temp 83F.</t>
        </is>
      </c>
      <c r="U104" s="12258" t="inlineStr">
        <is>
          <t>2026-08-08_1.jpg;2026-08-08_2.jpg;2026-08-08_3.jpg;2026-08-08_4.jpg;2026-08-08_5.jpg;2026-08-08_6.jpg</t>
        </is>
      </c>
      <c r="V104" s="813" t="inlineStr">
        <is>
          <t>12:30 PM. FC 12.6 (63 drops), CC 0.4, pH 7.7, temp 83F. Interval was essentially exactly 24h (12:30 -&gt; 12:30), so no normalisation needed. Mass balance: 15.4 @ 31,496 -&gt; 12.6 @ 31,437 (level 16.3-&gt;16.0, -59 gal, no dose since 8/05) =&gt; real loss 2.83 ppm/24h -- ELEVATED vs the 0.75-1.91 of the last few days, and consistent with the overnight storm: wind-blown leaf debris is exactly the organic input that drives these. Fits the established pattern (7/19, 8/03 storms both ran ~3). John skimmed the surface and the vacuum is running. *** pH 7.7, DOWN from 7.8 -- the FIRST movement after 6 straight days flat. *** Worth noting only because carbonate TA is low (~71) so buffering is weak; 7.7 is still comfortably inside the ideal 7.2-7.8 band and a single 0.1 step is within the comparator's own resolution (its patches are 7.2/7.4/7.6/7.8, so 7.7 is an interpolation). NO ACTION -- but this is the signal we agreed to watch, so if pH keeps stepping down toward 7.2 over the next several days, that is the trigger for baking soda (~4.7 lb per +10 ppm TA). Removed 2 more LIVE frogs (photos filed) -- 5 live amphibians in 4 days, all preventive. CC 0.4 unremarkable. DOSE PLAN: 1.5 gal -&gt; ~18.4, landing ~15.6 tomorrow even at storm-level loss; 1.0 gal would land ~13.6, also fine, but 1.5 is the better buffer with debris still in the water and more decomposing overnight. PHOTOS(6): water clear, scattered leaf debris floating and on the floor (being vacuumed), no algae or cloudiness; Finnegan on the deck. *** HERO: today is Finnegan's 9th birthday -- the date-gated hero video + caption goes live with this entry. ***</t>
        </is>
      </c>
      <c r="W104" s="12263" t="inlineStr">
        <is>
          <t>storm</t>
        </is>
      </c>
    </row>
    <row r="105">
      <c r="A105" s="12271" t="inlineStr">
        <is>
          <t>2026-08-08</t>
        </is>
      </c>
      <c r="B105" s="12272" t="inlineStr">
        <is>
          <t>20:30</t>
        </is>
      </c>
      <c r="C105" s="12272" t="inlineStr">
        <is>
          <t>DOSE</t>
        </is>
      </c>
      <c r="D105" s="12273" t="n"/>
      <c r="E105" s="12273" t="n"/>
      <c r="F105" s="12273" t="n"/>
      <c r="G105" s="12273" t="n"/>
      <c r="H105" s="12273" t="n">
        <v>14.9</v>
      </c>
      <c r="I105" s="12274" t="n"/>
      <c r="J105" s="12275" t="n"/>
      <c r="K105" s="12275" t="n"/>
      <c r="L105" s="12275" t="n"/>
      <c r="M105" s="12273" t="n">
        <v>1.5</v>
      </c>
      <c r="N105" s="12273" t="n">
        <v>40.5</v>
      </c>
      <c r="O105" s="12273" t="n"/>
      <c r="P105" s="12276" t="n"/>
      <c r="Q105" s="12273" t="n"/>
      <c r="R105" s="12273" t="n"/>
      <c r="S105" s="12273" t="n"/>
      <c r="T105" s="827" t="n"/>
      <c r="U105" s="12272" t="n"/>
      <c r="V105" s="827" t="inlineStr">
        <is>
          <t>8:30 PM, 1.5 gal poured -- normal evening window. FC 12.6 -&gt; ~18.4, landing ~15.6 tomorrow even at today's storm-level 2.83 ppm loss. Season total 40.5 gal. *** DEBRIS LOAD: MODERATE, and the COMPOSITION HAS CHANGED. *** Filed as debris/2026-08-08_1.jpg and _2.jpg. What they show: the canister is now dominated by GREEN OAK LEAVES -- fresh storm litter -- with NO millipedes visible, plus moderate fine silt on the mesh. That is a clear break from 8/05-8/07, all of which were dense masses of curled millipedes. INTERPRETATION: the millipede fall has TAPERED, and last night's wind replaced it with a different organic input. This supports reading today's elevated 2.83 ppm as a STORM signature (leaf litter) rather than a continuation of the millipede event -- and it is the first time the debris series has distinguished between two different load types, which is exactly what it was set up to do. Note the leaf load is likely EASIER on chlorine per unit volume than the millipedes were: leaves are largely cellulose and decompose slowly, whereas the animal matter was nitrogen-rich (which is why it drove CC up to the 0.6 season high on 8/05, while CC today sits at a routine 0.4). Watch tomorrow's loss to test that.</t>
        </is>
      </c>
      <c r="W105" s="12277" t="n"/>
    </row>
    <row r="106">
      <c r="A106" s="12285" t="inlineStr">
        <is>
          <t>2026-08-09</t>
        </is>
      </c>
      <c r="B106" s="12286" t="inlineStr">
        <is>
          <t>12:20</t>
        </is>
      </c>
      <c r="C106" s="12286" t="inlineStr">
        <is>
          <t>TEST</t>
        </is>
      </c>
      <c r="D106" s="12287" t="n">
        <v>7.7</v>
      </c>
      <c r="E106" s="12287" t="n">
        <v>15.4</v>
      </c>
      <c r="F106" s="12287" t="n">
        <v>0.4</v>
      </c>
      <c r="G106" s="12287" t="n">
        <v>3</v>
      </c>
      <c r="H106" s="12287" t="n"/>
      <c r="I106" s="12288" t="n">
        <v>0.5</v>
      </c>
      <c r="J106" s="12289" t="n"/>
      <c r="K106" s="12289" t="n"/>
      <c r="L106" s="12289" t="n"/>
      <c r="M106" s="12287" t="n"/>
      <c r="N106" s="12287" t="n"/>
      <c r="O106" s="12287" t="n">
        <v>13</v>
      </c>
      <c r="P106" s="12290" t="n">
        <v>0</v>
      </c>
      <c r="Q106" s="12287" t="n"/>
      <c r="R106" s="12287" t="n">
        <v>84</v>
      </c>
      <c r="S106" s="12287" t="n">
        <v>15.4</v>
      </c>
      <c r="T106" s="1047" t="inlineStr">
        <is>
          <t>Hot and sunny. Partly cloudy at test time, 87F air, 58% RH, sun 6.0h of 6h so far (100%), high 88F, 0.00in precip, UV 7.3. Water temp up to 84F, warmest of the season.</t>
        </is>
      </c>
      <c r="U106" s="12286" t="inlineStr">
        <is>
          <t>2026-08-09_1.jpg;2026-08-09_2.jpg;2026-08-09_3.jpg;2026-08-09_4.jpg;2026-08-09_5.jpg;2026-08-09_6.jpg;2026-08-09_7.jpg;2026-08-09_8.jpg;2026-08-09_9.jpg;2026-08-09_10.jpg</t>
        </is>
      </c>
      <c r="V106" s="1047" t="inlineStr">
        <is>
          <t>12:20 PM. FC 15.4 (77 drops), CC 0.4, pH 7.7 steady, temp 84F (season high). Mass balance: 12.6 @ 31,437 + 1.5 gal - 15.4 @ 31,320 (level 16.0-&gt;15.4 = -118 gal evaporation, no rain) =&gt; 3.23 ppm over 23.8h = 3.25 ppm/24h. Model predicted 14.9 vs actual 15.4, error +0.5 -- a good hit. *** CLAUDE'S LEAF PREDICTION WAS WRONG. *** Last night I predicted that leaf litter, being mostly cellulose, would be EASIER on chlorine than the nitrogen-rich millipedes. Instead loss came in at 3.25 -- HIGHER than both same-day millipede days (1.91 and 0.75). Two elevated days running (2.83, 3.25). *** WHY -- and it exposes a real limitation of the debris series: *** John reports (and photographed) a lot of sediment in the DEEP END that looks like CATERPILLARS, which the vacuum is working on now. So the load was never leaf-only; animal matter was accumulating on the floor the whole time. Last night's canister looked leaf-dominated because that is what the vacuum had COLLECTED -- the caterpillars were still lying on the bottom, uncollected. *** LESSON: the canister photo measures what was REMOVED, not what REMAINS in the pool. *** It is a record of the previous day's harvest, not an inventory of current load, so it cannot be read as a complete picture of what is driving demand. That is a genuine constraint on the series and should temper any load-&gt;loss correlation drawn from it. Photo 2026-08-09_7.jpg is a close-up of dark bristly matter with fine pale filaments on the mesh -- consistent with caterpillar setae, though not definitive from a photo. NO DOSE: FC 15.4 is right at aim 15; even at today's elevated 3.25 rate it lands ~12.2 tomorrow, comfortably above floor 10, and the vacuum is actively removing the caterpillar sediment which should lower tomorrow's demand. (0.5 gal would be a reasonable buffer if John prefers, taking it to ~17.3; 1.0 gal would overshoot the ~19 ceiling.) pH 7.7 STEADY for a 2nd day -- no continued decline, so the low-carbonate-TA (~71) watch stays quiet and no baking soda is needed. Level 15.4 cm and falling on hot dry evaporation. MORE DEBRIS PHOTOS PENDING when the vacuum finishes. *** CATERPILLARS ARRIVE OVERNIGHT -- established by direct observation (John, 8/09): the pool was CLEAN when the vacuum finished last evening, and all of today's load was present by the noon test. *** So it is a nightly bulk delivery, not a daytime trickle -- which is also why John never sees them crawling on the patio: the pool is ringed by trees with branches over the water, so they most likely drop straight in and never cross the deck. This directly explains today's elevated 3.25 ppm: a fresh batch landed in the dark and had been decomposing for hours before the noon reading. UNRESOLVED: whether they are actively wandering at night or simply being knocked loose by wind (several windy nights recently) -- if quiet nights yield as many as windy ones it is behaviour, if it tracks wind it is mechanical. IMPLICATIONS NOTED BUT NOT ACTED ON (John's call -- routine unchanged for now, he will say when/if he changes it): (a) the vacuum currently goes in at noon, so an overnight batch sits ~12h before removal begins; a MORNING run would cut several hours off residence time, which the 8/05-8/07 data shows is what actually costs chlorine; (b) trimming branches that overhang the water would cut the input at source rather than managing it. SPECIES still unconfirmed -- see the glove precaution in POOL.md. *** DEBRIS SERIES (debris/2026-08-09_1..5.jpg). LOAD: VERY HEAVY, caterpillar-dominated. *** The full canister shows a dense mat of dark bristly caterpillars with LONG PALE SETAE radiating outward, plus reddish-orange colouration on many segments, mixed with curled millipedes, several SNAIL SHELLS and leaf matter. Deck close-ups (out of water, natural light) show the same: dark segmented bodies, pale spiky hairs. *** SPECIES -- REVISED READ: this is NOT a good match for hickory tussock *** (which is characteristically white/cream with discrete BLACK tufts). The dark body + long pale setae + reddish segments is more consistent with SPONGY/GYPSY MOTH (Lymantria dispar) larvae, whose paired red dorsal spots would explain the reddish colouration. CAVEAT: early August is LATE for spongy-moth larvae in CT (they usually pupate by mid-July), and the specimens are dead and degraded, so this is a best guess, NOT an identification. Claude is not an entomologist and should not be treated as one here. *** The glove precaution stands regardless -- spongy moth hairs also cause contact dermatitis. *** Also filed photos/2026-08-09_9.jpg and _10.jpg: the pool AFTER this vacuum run -- completely clear, floor clean, no debris, which is the reassuring counterpoint to the canister.</t>
        </is>
      </c>
      <c r="W106" s="12291" t="inlineStr">
        <is>
          <t>caterpillars+leaves</t>
        </is>
      </c>
    </row>
    <row r="107">
      <c r="A107" s="12292" t="inlineStr">
        <is>
          <t>2026-08-10</t>
        </is>
      </c>
      <c r="B107" s="12293" t="inlineStr">
        <is>
          <t>12:30</t>
        </is>
      </c>
      <c r="C107" s="12293" t="inlineStr">
        <is>
          <t>TEST</t>
        </is>
      </c>
      <c r="D107" s="12294" t="n">
        <v>7.8</v>
      </c>
      <c r="E107" s="12294" t="n">
        <v>15</v>
      </c>
      <c r="F107" s="12294" t="n">
        <v>0.2</v>
      </c>
      <c r="G107" s="12294" t="n">
        <v>0.4</v>
      </c>
      <c r="H107" s="12294" t="n"/>
      <c r="I107" s="12295" t="n"/>
      <c r="J107" s="12296" t="n"/>
      <c r="K107" s="12296" t="n"/>
      <c r="L107" s="12296" t="n"/>
      <c r="M107" s="12294" t="n"/>
      <c r="N107" s="12294" t="n"/>
      <c r="O107" s="12294" t="n">
        <v>13</v>
      </c>
      <c r="P107" s="12297" t="n">
        <v>0</v>
      </c>
      <c r="Q107" s="12294" t="n"/>
      <c r="R107" s="12294" t="n">
        <v>84</v>
      </c>
      <c r="S107" s="12294" t="n">
        <v>15</v>
      </c>
      <c r="T107" s="1199" t="inlineStr">
        <is>
          <t>Hot and sunny. Mainly clear, 82F, 46% RH (dry), sun 6.0h of 6h so far (100%), high 87F, 0.00in precip, UV 7.2. Water temp 84F.</t>
        </is>
      </c>
      <c r="U107" s="12293" t="inlineStr">
        <is>
          <t>2026-08-10_1.jpg;2026-08-10_2.jpg;2026-08-10_3.jpg;2026-08-10_4.jpg</t>
        </is>
      </c>
      <c r="V107" s="1199" t="inlineStr">
        <is>
          <t>12:30 PM. FC 15.0 (75 drops) = aim exactly, CC 0.2 (lowest in a week), pH 7.8, temp 84F. *** FIRST DAY OF THE NEW ROUTINE *** (vacuum 7:30 AM, canister pulled at the noon check). Mass balance: 15.4 @ 31,320 -&gt; 15.0 @ 31,241 (level 15.4-&gt;15.0 = -79 gal evaporation, no rain, no dose since 8/08) =&gt; *** loss 0.44 ppm/24h -- the LOWEST of the entire clean series, *** down from 3.25 yesterday and 2.83 the day before. *** ATTRIBUTION -- DO NOT CREDIT THE ROUTINE CHANGE: *** three things changed at once today and they are fully confounded: (a) the vacuum moved to a 7:30 AM start with a noon canister pull, (b) John reported markedly LESS sediment this morning, i.e. the fall itself is tapering, and (c) the load composition shifted AGAIN -- today's canister (debris/2026-08-10_1..4.jpg) is MILLIPEDE-dominated (curled, coiled, greyish) with pale grubs and one large reddish decomposing item, NOT the bristly caterpillars that dominated 8/09. n=1, and the same eagerness to credit a single day burned this log repeatedly in July. The honest read: encouraging, consistent with the residence-time hypothesis, and NOT evidence for it. What would actually test it: several days where a HEAVY load is logged AND loss stays low -- today's load is heavy-ish, so if that pairing repeats over ~a week it starts to mean something. CC 0.2 is the lowest since 8/02 and fits a low-demand day. pH 7.8, back up from yesterday's 7.7 -- fluctuating inside the comparator's own resolution (no 7.7 patch exists), so this is noise, not a trend; the low-carbonate-TA watch stays quiet. NO DOSE: FC 15.0 is exactly at aim; even if loss snaps back to ~3 it lands ~12 tomorrow, well above floor 10. Level 15.0 cm, falling steadily on hot dry days (46% RH). NOTE ON THE DEBRIS SERIES: from today the canister covers a FIXED window (7:30 AM start, ~12:30 PM pull) at a consistent time -- earlier entries cover longer, drifting windows, so do not compare volumes across the 8/10 seam.</t>
        </is>
      </c>
      <c r="W107" s="12298" t="inlineStr">
        <is>
          <t>millipedes; heavy, same-morning removal</t>
        </is>
      </c>
    </row>
    <row r="108">
      <c r="A108" s="12243" t="inlineStr">
        <is>
          <t>2026-08-11</t>
        </is>
      </c>
      <c r="B108" s="12244" t="inlineStr">
        <is>
          <t>12:00</t>
        </is>
      </c>
      <c r="C108" s="12244" t="inlineStr">
        <is>
          <t>TEST</t>
        </is>
      </c>
      <c r="D108" s="12245" t="n">
        <v>7.7</v>
      </c>
      <c r="E108" s="12245" t="n">
        <v>13</v>
      </c>
      <c r="F108" s="12245" t="n">
        <v>0.3</v>
      </c>
      <c r="G108" s="12245" t="n">
        <v>2</v>
      </c>
      <c r="H108" s="12245" t="n"/>
      <c r="I108" s="12246" t="n"/>
      <c r="J108" s="12247" t="n"/>
      <c r="K108" s="12247" t="n"/>
      <c r="L108" s="12247" t="n"/>
      <c r="M108" s="12245" t="n"/>
      <c r="N108" s="12245" t="n"/>
      <c r="O108" s="12245" t="n">
        <v>13</v>
      </c>
      <c r="P108" s="12248" t="n">
        <v>0.06</v>
      </c>
      <c r="Q108" s="12245" t="n"/>
      <c r="R108" s="12245" t="n">
        <v>83</v>
      </c>
      <c r="S108" s="12245" t="n">
        <v>14.7</v>
      </c>
      <c r="T108" s="624" t="inlineStr">
        <is>
          <t>Overcast at test time, 83F, 61% RH, sun 5.4h of 6h so far (89%), high 86F, 0.06in precip, UV 6.5. Water temp 83F.</t>
        </is>
      </c>
      <c r="U108" s="12244" t="inlineStr">
        <is>
          <t>2026-08-11_1.jpg;2026-08-11_2.jpg;2026-08-11_3.jpg;2026-08-11_4.jpg;2026-08-11_5.jpg</t>
        </is>
      </c>
      <c r="V108" s="624" t="inlineStr">
        <is>
          <t>12:00 PM. FC 13.0 (65 drops), CC 0.3, pH 7.7, temp 83F. 2nd day on the new routine (7:30 AM vacuum, noon canister pull). Mass balance: 15.0 @ 31,241 -&gt; 13.0 @ 31,182 (level 15.0-&gt;14.7 = -59 gal evaporation, no dose since 8/08) =&gt; loss 2.03 ppm/24h. *** THIS SETTLES YESTERDAY'S QUESTION -- AND THE ANSWER IS NO. *** Yesterday's 0.44 (lowest of the series) came on day 1 of the new routine and was tempting to credit to it. Today: SAME routine, SAME timing, and a SIMILAR millipede-dominated load in the canister (debris/2026-08-11_1..3.jpg -- curled millipedes plus leaf fragments, comparable to 8/10) -- yet loss is 2.03, roughly 4.6x higher. *** So the morning-vacuum change does NOT reliably produce low loss, and yesterday's 0.44 was ordinary variance, not an effect. *** Deliberately withholding attribution yesterday was correct; had it been credited, today would have broken it exactly as the July theories broke. The routine change is still worth keeping on first-principles grounds (it demonstrably cuts residence time, which the 8/05-8/07 contrast supports) -- but it has NOT been shown to move the daily number, and 2 days cannot show that either way. PHOTO SEQUENCE TODAY is unusually complete: 2026-08-11_1.jpg is the pool at 7 AM BEFORE the vacuum started, _2 through _5 are after it finished -- a genuine before/after of one morning's sweep. Load: millipedes are back as the dominant input (they had given way to caterpillars 8/09, leaves 8/08), so the composition continues to rotate week to week. CC 0.3, pH 7.7 -- pH has now alternated 7.7/7.8 for several days, which is fluctuation inside the comparator's resolution (no 7.7 patch exists), NOT a trend; low-carbonate-TA watch stays quiet. Level 14.7 cm, still falling on hot dry weather. DOSE PLAN: 1.5 gal -&gt; ~18.8 tonight, landing ~15.3 tomorrow at today's rate; undosed it lands ~11 which is above floor but leaves no margin for an event day.</t>
        </is>
      </c>
      <c r="W108" s="12249" t="inlineStr">
        <is>
          <t>millipedes; heavy, same-morning removal</t>
        </is>
      </c>
    </row>
    <row r="109">
      <c r="A109" s="12250" t="inlineStr">
        <is>
          <t>2026-08-11</t>
        </is>
      </c>
      <c r="B109" s="12251" t="inlineStr">
        <is>
          <t>19:00</t>
        </is>
      </c>
      <c r="C109" s="12251" t="inlineStr">
        <is>
          <t>DOSE</t>
        </is>
      </c>
      <c r="D109" s="12252" t="n"/>
      <c r="E109" s="12252" t="n"/>
      <c r="F109" s="12252" t="n"/>
      <c r="G109" s="12252" t="n"/>
      <c r="H109" s="12252" t="n">
        <v>15.3</v>
      </c>
      <c r="I109" s="12253" t="n"/>
      <c r="J109" s="12254" t="n"/>
      <c r="K109" s="12254" t="n"/>
      <c r="L109" s="12254" t="n"/>
      <c r="M109" s="12252" t="n">
        <v>1.5</v>
      </c>
      <c r="N109" s="12252" t="n">
        <v>42</v>
      </c>
      <c r="O109" s="12252" t="n"/>
      <c r="P109" s="12255" t="n"/>
      <c r="Q109" s="12252" t="n"/>
      <c r="R109" s="12252" t="n"/>
      <c r="S109" s="12252" t="n"/>
      <c r="T109" s="631" t="n"/>
      <c r="U109" s="12251" t="n"/>
      <c r="V109" s="631" t="inlineStr">
        <is>
          <t>7:00 PM, 1.5 gal poured -- normal evening window (pool shaded after ~6:30, pump to 10 PM). FC 13.0 -&gt; ~18.8, projected ~15.3 next noon. Season total 42.0 gal. First dose in 3 days: FC coasted 15.4 -&gt; 15.0 -&gt; 13.0 from 8/08's dose, i.e. ~0.4-2.0 ppm/day over that stretch, which is why no dose was needed 8/09 or 8/10. NOTE ON THE PROJECTION: dose.py's 15.3 uses the flat l24 3.5, and the last three measured losses were 3.25 / 0.44 / 2.03 (mean ~1.9), so the honest range for tomorrow is ~15.3-18.4 with the model sitting at the pessimistic end. Not adjusting -- the flat 3.5 remains a deliberate safety buffer sized for event days, and this stretch is a good illustration of why: three consecutive days spanned a 7x range in demand with no forecastable cause. Watch tomorrow for whether the millipede fall keeps running (it has been the dominant input 2 days now, after caterpillars and leaves before that).</t>
        </is>
      </c>
      <c r="W109" s="12256" t="n"/>
    </row>
    <row r="110">
      <c r="A110" s="12292" t="inlineStr">
        <is>
          <t>2026-08-12</t>
        </is>
      </c>
      <c r="B110" s="12293" t="inlineStr">
        <is>
          <t>13:10</t>
        </is>
      </c>
      <c r="C110" s="12293" t="inlineStr">
        <is>
          <t>TEST</t>
        </is>
      </c>
      <c r="D110" s="12294" t="n">
        <v>7.7</v>
      </c>
      <c r="E110" s="12294" t="n">
        <v>16.2</v>
      </c>
      <c r="F110" s="12294" t="n">
        <v>0.2</v>
      </c>
      <c r="G110" s="12294" t="n">
        <v>2.6</v>
      </c>
      <c r="H110" s="12294" t="n"/>
      <c r="I110" s="12295" t="n">
        <v>0.9</v>
      </c>
      <c r="J110" s="12296" t="n"/>
      <c r="K110" s="12296" t="n"/>
      <c r="L110" s="12296" t="n"/>
      <c r="M110" s="12294" t="n"/>
      <c r="N110" s="12294" t="n"/>
      <c r="O110" s="12294" t="n">
        <v>13</v>
      </c>
      <c r="P110" s="12297" t="n">
        <v>0</v>
      </c>
      <c r="Q110" s="12294" t="n"/>
      <c r="R110" s="12294" t="n">
        <v>83</v>
      </c>
      <c r="S110" s="12294" t="n">
        <v>14.4</v>
      </c>
      <c r="T110" s="1199" t="inlineStr">
        <is>
          <t>Hot, clear and dry. 84F, 42% RH, sun 7.0h of 7h so far (100%), high 84F, 0.00in precip, UV 7.2.</t>
        </is>
      </c>
      <c r="U110" s="12293" t="inlineStr">
        <is>
          <t>2026-08-12_1.jpg;2026-08-12_2.jpg;2026-08-12_3.jpg;2026-08-12_4.jpg</t>
        </is>
      </c>
      <c r="V110" s="1199" t="inlineStr">
        <is>
          <t>1:10 PM. FC 16.2 (81 drops), CC 0.2, pH 7.7, temp 83F. Interval 25.2h so normalised. Mass balance: 13.0 @ 31,182 + 1.5 gal - 16.2 @ 31,123 (level 14.7-&gt;14.4 = -59 gal) =&gt; 2.85 over 25.2h = 2.71 ppm/24h. Predicted 15.3, actual 16.2, error +0.9. *** DEBRIS LOAD IS CLEARLY LIGHT TODAY *** (debris/2026-08-12_1..3.jpg): just a small cluster of curled millipedes in one corner plus fine silt, versus the dense mats of 8/09-8/11. The fall is tapering, as it did with the millipedes in early August. *** ONE WEEK OF THE DEBRIS SERIES -- HONEST NEGATIVE RESULT: visible load does NOT predict daily loss. *** Pairing every rating against the measured loss: 8/06 heavy -&gt; 1.91; 8/07 heavy -&gt; 0.75; 8/08 moderate/leaves -&gt; 2.83; 8/09 VERY heavy -&gt; 3.25; 8/10 heavy -&gt; 0.44; 8/11 heavy -&gt; 2.03; 8/12 LIGHT -&gt; 2.71. The heavy days alone span 0.44-3.25, and today's LIGHT day sits mid-range at 2.71 -- higher than four of the five heavy days. There is no usable relationship here. CAVEATS (real, but they do not rescue it): ratings are subjective; n=7; and per the 8/09 finding the canister measures what was REMOVED, not what REMAINS, so it is an imperfect proxy for the load actually driving demand. Still, the series was set up precisely to test whether observed organic input predicts loss, and after a week it does not. This is now the FIFTH candidate predictor to fail (sun, water temp, FC carried, load class, visible debris) and it reinforces the 7/20 conclusion: nothing we can currently measure forecasts daily FC loss; operate reactively. *** The series is still worth continuing *** -- it has earned its keep in other ways (it identified the millipede die-off, caught the composition rotating leaves-&gt;caterpillars-&gt;millipedes, and documented the residence-time contrast) -- just not as a predictor. NO DOSE: FC 16.2 is above aim 15, inside safe-swim ~19; at the recent ~2-3 rate it lands ~13-14 tomorrow. pH 7.7 (alternating 7.7/7.8 within comparator resolution -- no trend). Level 14.4 cm, still falling on hot dry weather; ~275 gal below the reference mark, no top-off needed yet. *** MULTIVARIATE TEST RUN (John's question: what about all 5 predictors together?) -- answer is NO, see analyze_multivar.py. *** Leave-one-out cross-validation on 28 day-pairs: flat-mean MAE 1.29; every single predictor worse (1.30-1.35); combined models monotonically WORSE (2 pred 1.35, 3 pred 1.42, 4 pred 1.43, 5 pred 1.51). In-sample the same models look BETTER (flat 1.25, 3 pred 1.22, 5 pred 1.20) -- the guaranteed overfitting illusion, which is why only the out-of-sample number counts. Settled: use the flat mean.</t>
        </is>
      </c>
      <c r="W110" s="12298" t="inlineStr">
        <is>
          <t>millipedes; light, fall tapering</t>
        </is>
      </c>
    </row>
    <row r="111">
      <c r="A111" s="12243" t="inlineStr">
        <is>
          <t>2026-08-13</t>
        </is>
      </c>
      <c r="B111" s="12244" t="inlineStr">
        <is>
          <t>12:20</t>
        </is>
      </c>
      <c r="C111" s="12244" t="inlineStr">
        <is>
          <t>TEST</t>
        </is>
      </c>
      <c r="D111" s="12245" t="n">
        <v>7.7</v>
      </c>
      <c r="E111" s="12245" t="n">
        <v>13</v>
      </c>
      <c r="F111" s="12245" t="n">
        <v>0.2</v>
      </c>
      <c r="G111" s="12245" t="n">
        <v>2.9</v>
      </c>
      <c r="H111" s="12245" t="n"/>
      <c r="I111" s="12246" t="n"/>
      <c r="J111" s="12247" t="n"/>
      <c r="K111" s="12247" t="n"/>
      <c r="L111" s="12247" t="n"/>
      <c r="M111" s="12245" t="n"/>
      <c r="N111" s="12245" t="n"/>
      <c r="O111" s="12245" t="n">
        <v>13</v>
      </c>
      <c r="P111" s="12248" t="n">
        <v>0.23</v>
      </c>
      <c r="Q111" s="12245" t="n"/>
      <c r="R111" s="12245" t="n">
        <v>81</v>
      </c>
      <c r="S111" s="12245" t="n">
        <v>17.4</v>
      </c>
      <c r="T111" s="624" t="inlineStr">
        <is>
          <t>Storm and rain overnight, clear by test time. 80F, 68% RH, sun 2.8h of 6h so far (47%), high 83F, 0.23in precip logged, UV 6.2. Water temp down to 81F.</t>
        </is>
      </c>
      <c r="U111" s="12244" t="inlineStr">
        <is>
          <t>2026-08-13_1.jpg;2026-08-13_2.jpg</t>
        </is>
      </c>
      <c r="V111" s="624" t="inlineStr">
        <is>
          <t>12:20 PM. FC 13.0 (65 drops), CC 0.2, pH 7.7, temp down to 81F. Interval 23.2h, normalised. Mass balance: 16.2 @ 31,123 -&gt; 13.0 @ 31,712 (level 14.4-&gt;17.4 = +589 gal of rain = 1.18in equivalent, no dose since 8/11) =&gt; raw FC drop 3.2, of which dilution accounts for only 0.30 ppm, so real chemical loss 2.93 over 23.2h = 3.03 ppm/24h. *** CHECKED A HUNCH AND IT WAS WRONG: *** the recent storm days (8/03 3.04, 8/08 2.83, today 3.03) looked suspiciously consistent, so I tested whether 'storm' is finally a class that predicts. It is not -- the storm class is n=7, mean 1.93, sd 1.32, spanning roughly 0.99 to 4.41. Today's 3.03 sits at the HIGH end, not at a typical value. Worse for the idea: the storm mean (1.93) is LOWER than the quiet mean (2.29, n=14, sd 1.24), and the two distributions overlap almost entirely. Consistent with yesterday's multivariate result -- load class does not predict, and three recent similar values were coincidence, not signal. DATA HYGIENE NOTE: the Load column has drifted into free text and is fragmenting into near-duplicate classes ('millipedes (heavy, removed same day)' vs '...same morning' vs '...LIGHT -- fall clearly tapering'), which splits small groups further and makes class aggregation less useful. Worth normalising to the controlled vocabulary (quiet/swimmers/party/dog/storm/smoke/millipedes/caterpillars/leaves + a separate qualifier) if the Load field is ever used analytically again -- low priority, since load class has now failed as a predictor. VACUUM: got STUCK this morning and John restarted it at noon, so today's canister covers a NON-STANDARD window and is not comparable to the fixed 7:30 AM-&gt;noon entries; photos to follow. Sediment was light this morning regardless, consistent with the fall continuing to taper. PHOTOS(2): water clear, scattered small storm debris on the floor, no algae or cloudiness; level visibly high after the rain. DOSE PLAN: 1.5 gal -&gt; ~18.8, projected ~15.3 next noon; undosed it lands ~10 tomorrow, right at floor, so a dose is needed today. *** DEBRIS (debris/2026-08-13_1..3.jpg, pulled ~4 PM). NEW INPUT TYPE: EARTHWORMS. *** Several large pink-tan segmented earthworms are unmistakable in the canister, alongside the usual curled millipedes, leaf fragments, fine silt and plant matter. Cause is almost certainly last night's storm: heavy rain waterlogs the soil and drives earthworms to the surface to avoid suffocating, after which they are washed or crawl into the pool -- the same post-rain mechanism as the millipede migration, different species. Load tagged 'storm+earthworms'; 'earthworms' added to the controlled vocabulary as a distinct and plausibly recurring input. Worth noting the input types have now rotated FIVE times in nine days: millipedes (8/05-07) -&gt; leaves (8/08) -&gt; caterpillars (8/09) -&gt; millipedes again (8/10-12) -&gt; earthworms (8/13). That churn is itself a reason no single load class was ever going to predict loss. Consistent with today's elevated 3.03: earthworms are nitrogen-rich animal matter, the same category that drove the caterpillar and carcass days. *** WINDOW CAVEAT: the vacuum stuck this morning and was restarted at noon, then pulled ~4 PM, so this canister covers roughly a 4-hour run rather than the standard 7:30 AM-&gt;noon window -- NOT comparable in volume to the fixed-window entries. ***</t>
        </is>
      </c>
      <c r="W111" s="12249" t="inlineStr">
        <is>
          <t>storm+earthworms; moderate, non-standard vacuum window</t>
        </is>
      </c>
    </row>
    <row r="112">
      <c r="A112" s="12250" t="inlineStr">
        <is>
          <t>2026-08-13</t>
        </is>
      </c>
      <c r="B112" s="12251" t="inlineStr">
        <is>
          <t>20:30</t>
        </is>
      </c>
      <c r="C112" s="12251" t="inlineStr">
        <is>
          <t>DOSE</t>
        </is>
      </c>
      <c r="D112" s="12252" t="n"/>
      <c r="E112" s="12252" t="n"/>
      <c r="F112" s="12252" t="n"/>
      <c r="G112" s="12252" t="n"/>
      <c r="H112" s="12252" t="n">
        <v>15.3</v>
      </c>
      <c r="I112" s="12253" t="n"/>
      <c r="J112" s="12254" t="n"/>
      <c r="K112" s="12254" t="n"/>
      <c r="L112" s="12254" t="n"/>
      <c r="M112" s="12252" t="n">
        <v>1.5</v>
      </c>
      <c r="N112" s="12252" t="n">
        <v>43.5</v>
      </c>
      <c r="O112" s="12252" t="n"/>
      <c r="P112" s="12255" t="n"/>
      <c r="Q112" s="12252" t="n"/>
      <c r="R112" s="12252" t="n"/>
      <c r="S112" s="12252" t="n"/>
      <c r="T112" s="631" t="n"/>
      <c r="U112" s="12251" t="n"/>
      <c r="V112" s="631" t="inlineStr">
        <is>
          <t>8:30 PM, 1.5 gal poured -- normal evening window (pool shaded after ~6:30, pump to 10 PM, inside the 9:15 hard cutoff). FC 13.0 -&gt; ~18.8, projected ~15.3 next noon. Season total 43.5 gal. Dose was genuinely needed today rather than optional: undosed, at today's measured 3.03 storm-day loss, FC would land ~10 tomorrow -- exactly at floor, with no margin for another event day, and the pool has just taken on a fresh nitrogen-rich earthworm load from the storm. Standing note: the projection uses the flat l24 3.5 while the last four measured losses were 0.44 / 2.03 / 2.71 / 3.03 (mean ~2.05), so 15.3 is the pessimistic end and ~16.7 is the recent-data expectation; range ~15-17. Not adjusting -- the 8/12 leave-one-out test settled that the flat mean beats every predictor and combination, so the buffer stays as designed. TOMORROW: John plans an old-vs-new DPD powder comparison (two samples, same red spot, same technique, powder in visible excess both times) -- degraded DPD reads LOW, so if the old canisters come in within a drop or two they are fine to use, and if they read meaningfully lower they are spent. This is the side-by-side we missed on the 7/30 titrant changeover, so worth doing properly this time.</t>
        </is>
      </c>
      <c r="W112" s="12256" t="n"/>
    </row>
    <row r="113">
      <c r="A113" s="12257" t="inlineStr">
        <is>
          <t>2026-08-14</t>
        </is>
      </c>
      <c r="B113" s="12258" t="inlineStr">
        <is>
          <t>12:45</t>
        </is>
      </c>
      <c r="C113" s="12258" t="inlineStr">
        <is>
          <t>TEST</t>
        </is>
      </c>
      <c r="D113" s="12259" t="n">
        <v>7.8</v>
      </c>
      <c r="E113" s="12259" t="n">
        <v>14.4</v>
      </c>
      <c r="F113" s="12259" t="n">
        <v>0.2</v>
      </c>
      <c r="G113" s="12259" t="n">
        <v>4.3</v>
      </c>
      <c r="H113" s="12259" t="n"/>
      <c r="I113" s="12260" t="n">
        <v>-0.9</v>
      </c>
      <c r="J113" s="12261" t="n"/>
      <c r="K113" s="12261" t="n"/>
      <c r="L113" s="12261" t="n"/>
      <c r="M113" s="12259" t="n"/>
      <c r="N113" s="12259" t="n"/>
      <c r="O113" s="12259" t="n">
        <v>13</v>
      </c>
      <c r="P113" s="12262" t="n">
        <v>0.02</v>
      </c>
      <c r="Q113" s="12259" t="n"/>
      <c r="R113" s="12259" t="n">
        <v>82</v>
      </c>
      <c r="S113" s="12259" t="n">
        <v>16.9</v>
      </c>
      <c r="T113" s="813" t="inlineStr">
        <is>
          <t>Clear and dry. 82F, 46% RH, sun 6.9h of 7h so far (99%), high 83F, 0.02in precip, UV 7.2.</t>
        </is>
      </c>
      <c r="U113" s="12258" t="inlineStr">
        <is>
          <t>2026-08-14_1.jpg;2026-08-14_2.jpg;2026-08-14_3.jpg;2026-08-14_4.jpg</t>
        </is>
      </c>
      <c r="V113" s="813" t="inlineStr">
        <is>
          <t>12:45 PM. FC 14.4 (72 drops), CC 0.2, temp 82F. Interval 24.4h, normalised. Mass balance: 13.0 @ 31,712 + 1.5 gal - 14.4 @ 31,614 (level 17.4-&gt;16.9 = -98 gal evaporation) =&gt; 4.56 over 24.4h = *** 4.49 ppm/24h -- the highest since 8/05's 4.90, *** and the FOURTH consecutive increase: 2.03 -&gt; 2.71 -&gt; 3.03 -&gt; 4.49. *** MODEL UNDER-PREDICTED for once: *** predicted 15.3, actual 14.4, error -0.9 -- i.e. real loss (4.49) exceeded the flat l24 3.5. Most recent misses have been the model over-predicting, so this is the buffer being genuinely consumed rather than wasted, and a useful reminder of why it is kept. LIKELY DRIVER: the storm's nitrogen-rich earthworm load from 8/13 decomposing through this window -- the same one-day-lag shape seen after the 7/28 mouse and the 8/05 millipede die-off, where the spike lands on the day AFTER the material arrives. CANISTER (debris/2026-08-14_1..3.jpg): *** JOHN CORRECTED CLAUDE'S READ -- 'not really a lot of sediment'. *** Claude called it 'heavy fine silt' from the photo; John is looking at it in person and says otherwise, so the load is LIGHT-to-MODERATE. Correction accepted -- a photo of a mesh panel exaggerates fine particulate, since backlighting makes a thin film look like caking. Consequence: the tempting pairing of 'heavy fine silt + highest loss in nine days' EVAPORATES; it was a light-load day with a high loss, which if anything runs against a load-&gt;loss relationship. *** JOHN'S HUMIDITY HYPOTHESIS -- TESTED, NOT SUPPORTED: *** he noticed the air has gotten much drier while loss has risen (2.03 -&gt; 2.71 -&gt; 3.03 -&gt; 4.49) and asked whether that is the driver. Tested two ways: %RH (parsed from the Weather column) vs loss, n=34, r=+0.13 -- slightly POSITIVE, i.e. the OPPOSITE direction to the hypothesis and near zero regardless; and evaporation gal on no-rain days (a better proxy since it integrates humidity, temp and wind) vs loss, n=10, r=-0.04, flat. The recent week runs against it directly: the driest day (8/12, 42% RH) lost 2.93 while the most humid (8/13, 68% RH) lost 4.56, the highest of the stretch. Worth testing rather than dismissing because there IS a plausible mechanism -- volatile chlorine can off-gas from the surface and faster evaporation could speed that -- but the flat evaporation correlation closes that path too, and the concentrating effect of water leaving is already handled explicitly by the mass balance. The 4-day RISE John spotted is REAL; humidity is just not what is causing it. This is the SEVENTH predictor tested and failed (sun, water temp, FC carried, load class, visible debris, all five combined, humidity). pH 7.8 (John reported it separately -- it WAS taken, Claude just did not have it at logging time). pH has now alternated 7.7/7.8 for two weeks straight with no drift in either direction, which is genuinely reassuring: the low-carbonate-TA (~71) concern was that weak buffering would let pH wander, and two weeks of dead-flat readings say it is holding fine. No TA action; the watch stays open but quiet. OUTSTANDING: the old-vs-new DPD powder comparison -- John will run it soon, not today. DOSE PLAN: 1.0 gal, NOT 1.5 -- 14.4 + 1.5 gal would reach ~20.2, above the ~19 safe-swim ceiling; 1.0 gal lands ~18.2 now and ~13.7 tomorrow even if today's elevated 4.5 rate repeats.</t>
        </is>
      </c>
      <c r="W113" s="12263" t="inlineStr">
        <is>
          <t>earthworms; light-to-moderate load</t>
        </is>
      </c>
    </row>
    <row r="114">
      <c r="A114" s="12271" t="inlineStr">
        <is>
          <t>2026-08-14</t>
        </is>
      </c>
      <c r="B114" s="12272" t="inlineStr">
        <is>
          <t>19:50</t>
        </is>
      </c>
      <c r="C114" s="12272" t="inlineStr">
        <is>
          <t>DOSE</t>
        </is>
      </c>
      <c r="D114" s="12273" t="n"/>
      <c r="E114" s="12273" t="n"/>
      <c r="F114" s="12273" t="n"/>
      <c r="G114" s="12273" t="n"/>
      <c r="H114" s="12273" t="n">
        <v>14.7</v>
      </c>
      <c r="I114" s="12274" t="n"/>
      <c r="J114" s="12275" t="n"/>
      <c r="K114" s="12275" t="n"/>
      <c r="L114" s="12275" t="n"/>
      <c r="M114" s="12273" t="n">
        <v>1</v>
      </c>
      <c r="N114" s="12273" t="n">
        <v>44.5</v>
      </c>
      <c r="O114" s="12273" t="n"/>
      <c r="P114" s="12276" t="n"/>
      <c r="Q114" s="12273" t="n"/>
      <c r="R114" s="12273" t="n"/>
      <c r="S114" s="12273" t="n"/>
      <c r="T114" s="827" t="n"/>
      <c r="U114" s="12272" t="n"/>
      <c r="V114" s="827" t="inlineStr">
        <is>
          <t>7:50 PM, 1.0 gal poured -- normal evening window. FC 14.4 -&gt; ~18.2, projected ~14.7 next noon. Season total 44.5 gal. *** DELIBERATELY 1.0 gal, NOT the usual 1.5: *** 14.4 + 1.5 gal would reach ~20.2, above the ~19 safe-swim ceiling, so the dose was sized down to stay under it. 1.0 gal still lands ~13.7 tomorrow even if today's elevated 4.49 rate repeats, and ~15.7 at the recent ~2.5 average -- adequate either way. Today's loss (4.49) was the highest in nine days and the model UNDER-predicted for once (-0.9), so the buffer was genuinely consumed rather than wasted. Likely driver remains the 8/13 storm's earthworm load decomposing on the usual one-day lag. WATCHING TOMORROW: whether loss falls back after four straight increases (2.03 -&gt; 2.71 -&gt; 3.03 -&gt; 4.49). Every previous organic-load event in this log has been a ONE-DAY spike that collapsed the next day (7/19 storm, 7/28 mouse, 8/03 storm, 8/05 millipedes), so the base case is a drop back toward ~2-3; a fifth consecutive increase would be genuinely new behaviour and worth attention rather than another shrug.</t>
        </is>
      </c>
      <c r="W114" s="12277" t="n"/>
    </row>
    <row r="115">
      <c r="A115" s="12285" t="inlineStr">
        <is>
          <t>2026-08-15</t>
        </is>
      </c>
      <c r="B115" s="12286" t="inlineStr">
        <is>
          <t>12:45</t>
        </is>
      </c>
      <c r="C115" s="12286" t="inlineStr">
        <is>
          <t>TEST</t>
        </is>
      </c>
      <c r="D115" s="12287" t="n"/>
      <c r="E115" s="12287" t="n">
        <v>17.4</v>
      </c>
      <c r="F115" s="12287" t="n">
        <v>0.2</v>
      </c>
      <c r="G115" s="12287" t="n">
        <v>0.9</v>
      </c>
      <c r="H115" s="12287" t="n"/>
      <c r="I115" s="12288" t="n">
        <v>2.7</v>
      </c>
      <c r="J115" s="12289" t="n"/>
      <c r="K115" s="12289" t="n"/>
      <c r="L115" s="12289" t="n"/>
      <c r="M115" s="12287" t="n"/>
      <c r="N115" s="12287" t="n"/>
      <c r="O115" s="12287" t="n">
        <v>13</v>
      </c>
      <c r="P115" s="12290" t="n">
        <v>0</v>
      </c>
      <c r="Q115" s="12287" t="n"/>
      <c r="R115" s="12287" t="n">
        <v>81</v>
      </c>
      <c r="S115" s="12287" t="n">
        <v>16</v>
      </c>
      <c r="T115" s="1047" t="inlineStr">
        <is>
          <t>Hot, clear and dry. 80F, 45% RH, sun 6.9h of 7h so far (99%), high 80F, 0.00in precip, UV 7.1.</t>
        </is>
      </c>
      <c r="U115" s="12286" t="inlineStr">
        <is>
          <t>2026-08-15_1.jpg;2026-08-15_2.jpg;2026-08-15_3.jpg;2026-08-15_4.jpg</t>
        </is>
      </c>
      <c r="V115" s="1047" t="inlineStr">
        <is>
          <t>12:45 PM. FC 17.4 (87 drops), CC 0.2, temp 81F. pH not run -- new periodic cadence adopted 8/14. Mass balance: 14.4 @ 31,614 + 1.0 gal - 17.4 @ 31,437 (level 16.9-&gt;16.0 = -177 gal evaporation, no rain) =&gt; *** loss 1.05 ppm/24h. *** Predicted 14.7, actual 17.4, error +2.7 (model over-predicted -- the buffer erring in the harmless direction). *** THE FOUR-DAY RISE BROKE, EXACTLY AS THE BASE CASE PREDICTED: 2.03 -&gt; 2.71 -&gt; 3.03 -&gt; 4.49 -&gt; 1.05. *** Yesterday's log recorded that every organic-load event in this series has been a ONE-DAY spike that collapses the next day (7/19 storm, 7/28 mouse, 8/03 storm, 8/05 millipedes), so a fall back toward ~2-3 was the base case and a FIFTH increase would have been new behaviour warranting real attention. It fell to 1.05 -- below even the predicted range. The 8/13 earthworm load is now fully burned through. Low sediment today, water clear, vacuum still running at test time. *** ANTICIPATED LOAD -- WEED BURNER (John, today): *** he used a weed burner to clear vegetation inside the pool enclosure, so charred plant debris is expected to blow in over the next day or two. TWO EFFECTS, opposite directions: (1) FC impact likely SMALLER than an equivalent volume of green matter, because carbonising plant material destroys much of what chlorine would otherwise oxidise; (2) *** ASH IS ALKALINE *** -- plant ash carries potassium and calcium carbonates, which raise BOTH pH and TA. *** ACTION: run pH (and TA if convenient) in 2-3 days once the debris has blown in and dissolved. *** This is the first 'ping' under the new periodic-pH cadence, triggered chemically rather than by rain. Worth it because a pH jump toward 8.0+ needs catching, and conversely a TA TICK UP would be mildly good news given TA has been declining from chlorine-acid consumption (see 8/14) -- and would confirm the ash actually reached the water. Most likely the quantity is far too small to move 31,400 gal at all. Minor secondary note: ash also carries phosphates, algae food, but at FC 17.4 with clear water that is not a near-term concern. Hose visible in the photos was in use for another purpose, NOT filling the pool -- level change is pure evaporation. NO DOSE: FC 17.4 above aim 15, inside safe-swim ~19. *** DEBRIS (debris/2026-08-15_1..3.jpg): LIGHT-TO-MODERATE, and the composition has shifted again -- now dominated by BROWN, DRIED oak leaves rather than the green ones of early August, plus a few curled millipedes, an acorn and fine plant matter. *** Brown/dried leaf drop in mid-August is consistent with the hot dry stretch (45% RH, -177 gal evaporation today): trees under drought stress shed early. Also consistent with today's LOW loss of 1.05 -- dried leaf litter is cellulose-heavy and slow to break down, unlike the nitrogen-rich earthworms (8/13) and caterpillars (8/09) that drove the recent spikes. NOT the weed-burner debris: the burn was TODAY so that material arrives over the next day or two, and charred matter would appear black and brittle rather than brown and intact. Input types have now rotated SIX times in eleven days: millipedes -&gt; leaves -&gt; caterpillars -&gt; millipedes -&gt; earthworms -&gt; dried leaves.</t>
        </is>
      </c>
      <c r="W115" s="12291" t="inlineStr">
        <is>
          <t>leaves+millipedes; light-to-moderate</t>
        </is>
      </c>
    </row>
    <row r="116">
      <c r="A116" s="12292" t="inlineStr">
        <is>
          <t>2026-08-16</t>
        </is>
      </c>
      <c r="B116" s="12293" t="inlineStr">
        <is>
          <t>17:00</t>
        </is>
      </c>
      <c r="C116" s="12293" t="inlineStr">
        <is>
          <t>TEST</t>
        </is>
      </c>
      <c r="D116" s="12294" t="n"/>
      <c r="E116" s="12294" t="n">
        <v>15.8</v>
      </c>
      <c r="F116" s="12294" t="n">
        <v>0.5</v>
      </c>
      <c r="G116" s="12294" t="n">
        <v>1.7</v>
      </c>
      <c r="H116" s="12294" t="n"/>
      <c r="I116" s="12295" t="n"/>
      <c r="J116" s="12296" t="n"/>
      <c r="K116" s="12296" t="n"/>
      <c r="L116" s="12296" t="n"/>
      <c r="M116" s="12294" t="n"/>
      <c r="N116" s="12294" t="n"/>
      <c r="O116" s="12294" t="n">
        <v>13</v>
      </c>
      <c r="P116" s="12297" t="n">
        <v>0</v>
      </c>
      <c r="Q116" s="12294" t="n"/>
      <c r="R116" s="12294" t="n">
        <v>80</v>
      </c>
      <c r="S116" s="12294" t="n">
        <v>15.3</v>
      </c>
      <c r="T116" s="1199" t="inlineStr">
        <is>
          <t>Overcast at test time after a mostly sunny day. 75F, 69% RH, sun 10.7h of 12h (89%), high 80F, 0.00in precip, UV 7.0.</t>
        </is>
      </c>
      <c r="U116" s="12293" t="inlineStr">
        <is>
          <t>2026-08-16_1.jpg;2026-08-16_2.jpg</t>
        </is>
      </c>
      <c r="V116" s="1199" t="inlineStr">
        <is>
          <t>*** 5:00 PM reading -- LATE (John flagged missing the usual timeline), so the interval is 28.25h and the loss is normalised. *** FC 15.8 (79 drops), CC 0.4-0.5 (recorded 0.5, the conservative end), temp 80F. pH not run (periodic cadence). Mass balance: 17.4 @ 31,437 -&gt; 15.8 @ 31,300 (level 16.0-&gt;15.3 = -137 gal evaporation, no rain, no dose since 8/14) =&gt; 1.67 over 28.25h = 1.42 ppm/24h. Low-moderate, and the second consecutive quiet day after the earthworm spike resolved. *** CC ROSE 0.2 -&gt; 0.4/0.5, the one notable change. *** *** RESOLVED by John: NOBODY SWAM *** -- it stayed overcast, so the party did not go in the water. Bather load is therefore RULED OUT and the CC rise is attributable to the ORGANIC LOAD, specifically the burn debris (below). The dog swam ~3 laps, which per the 7/20 standing note is a negligible input and not a candidate explanation. Either way it is NOT yet a flag: post-load CC has risen to 0.4-0.5 and cleared on its own four times this season without action, and FC 15.8 is ample to burn it off. Watch tomorrow -- a hold at &gt;=0.5 with high FC would be the first time it has persisted. DEBRIS (debris/2026-08-16_1..4.jpg): MODERATE and mixed -- a green katydid, a spider, many small GREEN plant fragments, brown dried leaves, millipedes and snail shells. The green fragments are plausibly weed-burner aftermath -- vegetation killed by the burn drying and blowing in. *** THE CHARRED MATERIAL ITSELF ARRIVED TOO, but on the SURFACE, not in the canister: *** John skimmed 'lots of debris from burning... mostly small black pieces' off the top and got the water very clear. That explains why the canister read green-and-brown while the surface was black -- charred plant matter is light and hydrophobic, so it RAFTS rather than sinking, and a bottom-vacuum will not collect it. Skimming it promptly was the right move and is the residence-time principle in action: charred debris removed before it sits costs almost nothing, whereas two days of leaching would have shown up as demand. *** REVISION to the 8/15 ash prediction: what arrived is charred CARBON, not white/grey mineral ASH -- the alkalinity lives in the fine ash, so the expected pH/TA bump is SMALLER than flagged. Still worth the check, but with low expectations of seeing movement. *** NO DOSE: FC 15.8 above aim 15, inside safe-swim ~19; at the recent ~1.4-2 rate it lands ~13.8-14.4 tomorrow, comfortably in band. Level 15.3 cm, now 0.5 cm BELOW the 15.81 reference and falling steadily on the hot dry stretch -- about 100 gal down, no top-off needed yet but worth watching if the dry weather holds. *** STILL OUTSTANDING: pH/TA check (2-3 days post-burn, per 8/15) and the old-vs-new DPD powder comparison. ***</t>
        </is>
      </c>
      <c r="W116" s="12298" t="inlineStr">
        <is>
          <t>burn debris+leaves+insects; moderate, skimmed</t>
        </is>
      </c>
    </row>
    <row r="117">
      <c r="A117" s="12243" t="inlineStr">
        <is>
          <t>2026-08-17</t>
        </is>
      </c>
      <c r="B117" s="12244" t="inlineStr">
        <is>
          <t>12:25</t>
        </is>
      </c>
      <c r="C117" s="12244" t="inlineStr">
        <is>
          <t>TEST</t>
        </is>
      </c>
      <c r="D117" s="12245" t="n"/>
      <c r="E117" s="12245" t="n">
        <v>11.4</v>
      </c>
      <c r="F117" s="12245" t="n">
        <v>0.2</v>
      </c>
      <c r="G117" s="12245" t="n">
        <v>4.4</v>
      </c>
      <c r="H117" s="12245" t="n"/>
      <c r="I117" s="12246" t="n"/>
      <c r="J117" s="12247" t="n"/>
      <c r="K117" s="12247" t="n"/>
      <c r="L117" s="12247" t="n"/>
      <c r="M117" s="12245" t="n"/>
      <c r="N117" s="12245" t="n"/>
      <c r="O117" s="12245" t="n">
        <v>0</v>
      </c>
      <c r="P117" s="12248" t="n">
        <v>0.1</v>
      </c>
      <c r="Q117" s="12245" t="n"/>
      <c r="R117" s="12245" t="n">
        <v>78</v>
      </c>
      <c r="S117" s="12245" t="n">
        <v>15.3</v>
      </c>
      <c r="T117" s="624" t="inlineStr">
        <is>
          <t>Overcast, rain and wind overnight, still overcast at test time. 71F, 91% RH, 0.0h sun of 7h daylight, high 74F, 0.10in precip, UV 5.7. Water temp down to 78F.</t>
        </is>
      </c>
      <c r="U117" s="12244" t="inlineStr">
        <is>
          <t>2026-08-17_1.jpg;2026-08-17_2.jpg;2026-08-17_3.jpg;2026-08-17_4.jpg;2026-08-17_5.jpg;2026-08-17_6.jpg</t>
        </is>
      </c>
      <c r="V117" s="624" t="inlineStr">
        <is>
          <t>12:25 PM. FC 11.4 (57 drops), CC 0.2, temp down to 78F. *** INTERVAL WAS ONLY 19.42h (5:00 PM 8/16 -&gt; 12:25 PM 8/17), so normalisation is decisive here: *** raw drop 4.40 ppm, but as a daily rate that is *** 5.44 ppm/24h -- the SECOND HIGHEST of the season, *** behind only 6.89 (7/10 dog day) and ahead of 4.90 (8/05 millipede die-off). Logging the raw 4.40 would have understated it 24% and buried a notable day mid-pack. Level FLAT at 15.3 both days despite overnight rain, so rain roughly cancelled a day's evaporation (consistent with the feed's mere 0.10in) -- no net volume change, hence no dilution term and a clean loss figure. LIKELY CAUSE -- two contributors, both real: (1) *** BURN DEBRIS, and the skimming did not get all of it: *** John removed the floating black pieces yesterday, but charred material that had already waterlogged would have SUNK below the skimmer's reach, and dissolved organic carbon leached from it stays in the water regardless of what is physically removed. The vacuum is still running on it today. (2) Rain + WIND overnight, which has produced elevated demand every time this season (7/19, 8/03, 8/08, 8/13) by blowing and washing organics in. *** CC WATCH CLOSED: 0.5 -&gt; 0.2. *** Resolved on its own, as it has after every load event this season (now 5 for 5), so there is no persistent chloramine problem -- the burn debris passed through and John's prompt skimming did its job. WATER IS EXCELLENT: photos show it clear to the bottom end-to-end, no cloudiness, no algae, floor clean. So a 5.44 ppm day is demand being CONSUMED by organic input, not anything developing in the water -- exactly the distinction CC 0.2 and the visual both confirm. DOSE PLAN: 1.5 gal -&gt; ~17.2. The model would say 2.0 gal but that reaches ~19.1, right at the ~19 safe-swim ceiling; better to stay just under and dose again tomorrow if demand stays elevated. Even a repeat 5.4 day from 17.2 lands ~11.8, above floor. Level 15.3, half a cm below the reference. Canister photos pending -- vacuum still running. *** JOHN'S FRAMING (and it is the best explanation available): MULTIPLE INPUTS STACKED. *** He also removed TWO LIVING FROGS today. So today combined rain + wind + burn debris + frogs, whereas every previous high-loss day had ONE identifiable cause (7/28 mouse, 8/05 millipede die-off, single storms). Additive loads explain a second-highest-of-season figure without inventing any new mechanism, which is the most parsimonious reading and does not require another failed predictor. Rough contribution ranking: (1) BURN DEBRIS, likely largest -- floaters were skimmed but waterlogged char sinks below skimmer reach and dissolved organic carbon remains regardless of physical removal; (2) RAIN + WIND, the established pattern; (3) THE FROGS, smallest by far -- removed ALIVE so there is no carcass decomposition, and a few hours of amphibian waste in 31,000 gal is minor. Still logged, and still PREVENTIVE: that is now 7 live amphibians pulled out this season before any became the 8/05 problem. *** DEBRIS (debris/2026-08-17_1..5.jpg): MODERATE-HEAVY, and it corroborates the stacked-inputs reading. *** Contents: a WHOLE FRESH GREEN LEAF plus dried brown ones, extensive shredded plant fragments, and FINE DARK SPECKS mixed through the silt. Two things worth noting: (a) fresh green leaves being stripped indicates ACTIVE WIND DAMAGE rather than natural drop, consistent with the overnight wind; (b) the fine dark specks are almost certainly the CHARRED BURN MATERIAL finally settling out and reaching the bottom vacuum -- the fraction that waterlogged and sank after John skimmed the floaters on 8/16, which is exactly the mechanism proposed for today's elevated demand. Post-vacuum pool shot (photos/2026-08-17_6.jpg) shows the floor spotless and water clear end-to-end.</t>
        </is>
      </c>
      <c r="W117" s="12249" t="inlineStr">
        <is>
          <t>burn debris+storm+frogs; multiple stacked inputs</t>
        </is>
      </c>
    </row>
    <row r="118">
      <c r="A118" s="12250" t="inlineStr">
        <is>
          <t>2026-08-17</t>
        </is>
      </c>
      <c r="B118" s="12251" t="inlineStr">
        <is>
          <t>16:00</t>
        </is>
      </c>
      <c r="C118" s="12251" t="inlineStr">
        <is>
          <t>DOSE</t>
        </is>
      </c>
      <c r="D118" s="12252" t="n"/>
      <c r="E118" s="12252" t="n"/>
      <c r="F118" s="12252" t="n"/>
      <c r="G118" s="12252" t="n"/>
      <c r="H118" s="12252" t="n">
        <v>13.7</v>
      </c>
      <c r="I118" s="12253" t="n"/>
      <c r="J118" s="12254" t="n"/>
      <c r="K118" s="12254" t="n"/>
      <c r="L118" s="12254" t="n"/>
      <c r="M118" s="12252" t="n">
        <v>1.5</v>
      </c>
      <c r="N118" s="12252" t="n">
        <v>46</v>
      </c>
      <c r="O118" s="12252" t="n"/>
      <c r="P118" s="12255" t="n"/>
      <c r="Q118" s="12252" t="n"/>
      <c r="R118" s="12252" t="n"/>
      <c r="S118" s="12252" t="n"/>
      <c r="T118" s="631" t="n"/>
      <c r="U118" s="12251" t="n"/>
      <c r="V118" s="631" t="inlineStr">
        <is>
          <t>4:00 PM, 1.5 gal poured. Earlier than the usual evening window but with ZERO cost today: the day recorded 0.0 sun hours under full overcast, so there was no UV to burn it off, and the pump runs to 10 PM so it mixes fully. FC 11.4 -&gt; ~17.2, projected ~13.7 next noon. Season total 46.0 gal. Deliberately 1.5 rather than the model's 2.0 gal, which would have reached ~19.1 and touched the ~19 safe-swim ceiling; 1.5 keeps headroom and still clears the floor (~11.8) even if today's elevated 5.44 rate repeats. WATCHING TOMORROW: whether demand falls back. Every organic-load event this season has been a ONE-DAY spike that collapses the next day (7/19, 7/28, 8/03, 8/05, 8/13), so the base case is a drop toward ~2-3. What makes tomorrow slightly different is that today's load was MULTI-SOURCE (burn debris + wind + rain + frogs) rather than a single event, and the burn debris in particular is still arriving -- today's canister shows char only now reaching the bottom. So a second elevated day would NOT be surprising here, unlike the single-event cases; two more would be.</t>
        </is>
      </c>
      <c r="W118" s="12256" t="n"/>
    </row>
    <row r="119">
      <c r="A119" s="12292" t="inlineStr">
        <is>
          <t>2026-08-18</t>
        </is>
      </c>
      <c r="B119" s="12293" t="inlineStr">
        <is>
          <t>12:15</t>
        </is>
      </c>
      <c r="C119" s="12293" t="inlineStr">
        <is>
          <t>TEST</t>
        </is>
      </c>
      <c r="D119" s="12294" t="n"/>
      <c r="E119" s="12294" t="n">
        <v>15.6</v>
      </c>
      <c r="F119" s="12294" t="n">
        <v>0</v>
      </c>
      <c r="G119" s="12294" t="n">
        <v>1.6</v>
      </c>
      <c r="H119" s="12294" t="n"/>
      <c r="I119" s="12295" t="n">
        <v>1.9</v>
      </c>
      <c r="J119" s="12296" t="n"/>
      <c r="K119" s="12296" t="n"/>
      <c r="L119" s="12296" t="n"/>
      <c r="M119" s="12294" t="n"/>
      <c r="N119" s="12294" t="n"/>
      <c r="O119" s="12294" t="n">
        <v>13</v>
      </c>
      <c r="P119" s="12297" t="n">
        <v>0</v>
      </c>
      <c r="Q119" s="12294" t="n"/>
      <c r="R119" s="12294" t="n">
        <v>78</v>
      </c>
      <c r="S119" s="12294" t="n">
        <v>14.8</v>
      </c>
      <c r="T119" s="1199" t="inlineStr">
        <is>
          <t>Mainly clear at test time after a cloudy morning. 78F, 82% RH, sun 3.1h of 8h so far (39%), high 80F, 0.00in precip, UV 7.0.</t>
        </is>
      </c>
      <c r="U119" s="12293" t="inlineStr">
        <is>
          <t>2026-08-18_1.jpg;2026-08-18_2.jpg;2026-08-18_3.jpg;2026-08-18_4.jpg;2026-08-18_5.jpg;2026-08-18_6.jpg</t>
        </is>
      </c>
      <c r="V119" s="1199" t="inlineStr">
        <is>
          <t>12:15 PM. FC 15.6 (78 drops), *** CC 0.0 -- the first zero since 7/20, 29 days ago, *** temp 78F. Interval 23.83h, normalised. Mass balance: 11.4 @ 31,300 + 1.5 gal - 15.6 @ 31,202 (level 15.3-&gt;14.8 = -98 gal evaporation, no rain) =&gt; 1.84 over 23.83h = 1.86 ppm/24h. *** THE SPIKE RESOLVED IN ONE DAY AGAIN: 5.44 -&gt; 1.86. *** Predicted 13.7, actual 15.6, error +1.9 (model over-predicted). NOTE ON MY OWN HEDGE: yesterday I wrote that a SECOND elevated day would not surprise me here, because the load was multi-source (burn debris + wind + rain + frogs) and the char was still arriving, unlike prior single-event spikes. That hedge was unnecessary -- demand collapsed exactly as it has every other time. The one-day-spike rule is now 6 for 6 (7/19, 7/28, 8/03, 8/05, 8/13, 8/17) and it held even for a stacked multi-source load, which is stronger than I gave it credit for. Worth trusting rather than qualifying next time. *** CC 0.0 IS THE CLEANEST SIGNAL: *** it means the high FC has fully oxidised the burn-debris and storm organics to breakpoint with nothing left over -- the load is genuinely gone, not merely diluted. Combined with the 1.86 loss and a light canister, the 8/16-8/17 burn-debris episode is CLOSED. DEBRIS (debris/2026-08-18_1..4.jpg): LIGHT, the lightest in over a week -- a small cluster of millipedes and snails in one corner, one green oak leaf, an acorn, fine silt on the mesh. No char visible, consistent with the last of it having been collected yesterday. Photos also include a before/after pair around the vacuum run (2026-08-18_1..5 before, _6 after) and a skimmer-ruler close-up confirming 14.8. NO DOSE: FC 15.6 above aim 15, inside safe-swim ~19; at the recent ~1.9 rate it lands ~13.7 tomorrow. LEVEL WATCH: 14.8 cm is now 1.0 cm BELOW the 15.81 reference, ~200 gal down, after a steady dry-weather decline from the 8/13 storm peak of 17.4. Still no top-off needed, but if the dry stretch continues another week this becomes the first genuine fill decision since July. *** STILL OUTSTANDING: pH/TA panel (was due post-burn per 8/15, now also overdue on the periodic cadence) and the old-vs-new DPD powder comparison. ***</t>
        </is>
      </c>
      <c r="W119" s="12298" t="inlineStr">
        <is>
          <t>quiet; light</t>
        </is>
      </c>
    </row>
    <row r="120">
      <c r="A120" s="12243" t="inlineStr">
        <is>
          <t>2026-08-19</t>
        </is>
      </c>
      <c r="B120" s="12244" t="inlineStr">
        <is>
          <t>13:10</t>
        </is>
      </c>
      <c r="C120" s="12244" t="inlineStr">
        <is>
          <t>TEST</t>
        </is>
      </c>
      <c r="D120" s="12245" t="n"/>
      <c r="E120" s="12245" t="n">
        <v>12</v>
      </c>
      <c r="F120" s="12245" t="n">
        <v>0</v>
      </c>
      <c r="G120" s="12245" t="n">
        <v>3.6</v>
      </c>
      <c r="H120" s="12245" t="n"/>
      <c r="I120" s="12246" t="n"/>
      <c r="J120" s="12247" t="n"/>
      <c r="K120" s="12247" t="n"/>
      <c r="L120" s="12247" t="n"/>
      <c r="M120" s="12245" t="n"/>
      <c r="N120" s="12245" t="n"/>
      <c r="O120" s="12245" t="n">
        <v>13</v>
      </c>
      <c r="P120" s="12248" t="n">
        <v>0</v>
      </c>
      <c r="Q120" s="12245" t="n"/>
      <c r="R120" s="12245" t="n">
        <v>80</v>
      </c>
      <c r="S120" s="12245" t="n">
        <v>14.4</v>
      </c>
      <c r="T120" s="624" t="inlineStr">
        <is>
          <t>Sunny and dry -- John: 'just a sunny dry day'. Clear at test time, 82F, 57% RH, sun 6.4h of 7h so far (92%), high 84F, 0.00in precip, UV 7.2.</t>
        </is>
      </c>
      <c r="U120" s="12244" t="inlineStr">
        <is>
          <t>2026-08-19_1.jpg;2026-08-19_2.jpg;2026-08-19_3.jpg;2026-08-19_4.jpg</t>
        </is>
      </c>
      <c r="V120" s="624" t="inlineStr">
        <is>
          <t>1:10 PM. FC 12.0 (60 drops), *** CC 0.0 for the SECOND straight day *** (first back-to-back zeros since late June), temp 80F. Interval 24.92h, normalised. Mass balance: 15.6 @ 31,202 -&gt; 12.0 @ 31,123 (level 14.8-&gt;14.4 = -79 gal evaporation, no rain, no dose since 8/17) =&gt; 3.63 over 24.92h = 3.50 ppm/24h. (Amusing coincidence: that is exactly the flat l24 constant, which is meaningless but tidy.) *** ANOTHER CLEAN DATA POINT AGAINST LOAD PREDICTING LOSS: *** today was a QUIET, LOW-SEDIMENT, sunny dry day with nothing notable in the pool -- and it lost 3.50, nearly DOUBLE yesterday's 1.86, which also had a light load. Two consecutive light-load days, a 1.9x difference in loss, no identifiable cause for either. That is the eighth independent illustration that observable inputs do not forecast daily demand (see the 8/12 leave-one-out result), and it is exactly why the flat buffer is the right operating choice rather than a concession. CC 0.0 back-to-back is the strongest water-quality signal available: it means FC is oxidising everything arriving, to breakpoint, with margin left over. Water in the photos is excellent -- bright caustics, clear to the bottom, floor clean, vacuum working. DEBRIS (debris/2026-08-19_1..3.jpg): LIGHT, consistent with John's read. DOSE PLAN: 1.5 gal -&gt; ~17.8, projected ~14.3 next noon. FC 12.0 is above floor 10 but well below aim 15, and at today's 3.50 rate it would land ~8.5 undosed, BELOW floor, so this dose is needed rather than optional. *** LEVEL WATCH ESCALATING: 14.4 cm is now 1.4 cm below the 15.81 reference, ~275 gal down, and has fallen steadily for six days from the 8/13 storm peak of 17.4 (-3.0 cm, ~590 gal) with no rain in the forecast. Still comfortably above the skimmer, but this is on track to become the first genuine top-off decision since July within roughly a week if the dry weather holds. *** STILL OUTSTANDING: pH/TA panel (overdue on both the post-burn check and the periodic cadence) and the old-vs-new DPD powder comparison. *** HUMIDITY RE-TESTED PROPERLY (John raised it again, noting yesterday vs today differed mainly in humidity). *** The 8/14 test used the RH SNAPSHOT at test time, a weak proxy; this re-test uses MEAN RH ACROSS EACH ACTUAL LOSS WINDOW, pulled hourly from the Open-Meteo archive and matched to the real test timestamps. Result: n=40, *** r = +0.039 *** -- essentially zero (|r| would need &gt;~0.31 for p&lt;0.05 at n=40), and still the WRONG SIGN for the hypothesis. The two most humid windows on record gave 5.44 (8/16) and 1.86 (8/17) -- the highest and a low. *** WHY INTUITION AND DATA DIVERGE, and this is the useful part: *** John perceives AFTERNOON humidity (82% yesterday vs 57% today at test time, a 25-point gap that genuinely feels different), but the loss window spans 24h INCLUDING THE OVERNIGHT, when RH climbs toward saturation. Window means for those same two days are 88.7% and 81.2% -- a real gap of 7.5 points, under a third of what it felt like. His specific pair DOES point the right direction (more humid -&gt; less loss) and that is not dismissed, but it is n=2 and the relationship vanishes across 40 windows. GENERAL LESSON worth carrying: daytime conditions are what we notice, but chlorine loss integrates the night too, and nights here are humid regardless of how the afternoon felt -- so any daytime-weather intuition will systematically overstate the variation the pool actually experienced. Humidity is now tested TWICE and rejected both times. *** HUMIDITY TESTED A THIRD TIME, WITH AN INDEPENDENT DATA SOURCE (John's request -- a legitimate challenge, since Open-Meteo is ERA5 MODEL REANALYSIS and its precip has been wrong by 3-4x for this location, so its RH was fairly suspect too). Second source: *** KHVN (Tweed New Haven) ASOS STATION OBSERVATIONS via the Iowa State mesonet archive -- 1,362 real hourly measurements, 6/24-8/19, an actual instrument rather than a model grid. *** Result on the same 40 loss windows: r = +0.160, versus +0.039 from ERA5. Both near zero, both the WRONG SIGN for the hypothesis, neither near significance (needs |r|&gt;~0.31 at n=40). The extremes are decisive: the three DRIEST windows (mean 54.5/54.6/55.1% RH) lost 0.86 / 0.81 / 3.04, and the three most HUMID (90.1/93.8/94.5%) lost 1.86 / 0.59 / 3.14 -- i.e. the driest windows produced two of the lowest losses on record and the single most humid window of the season lost 0.59, the second lowest. Both extremes span the full range, which is what no relationship looks like. *** CONCLUSION: humidity is now tested THREE times (snapshot RH, ERA5 window-mean, station-observed window-mean) and rejected every time. Do not re-test without a genuinely new mechanism to justify it. *** Methodological note worth keeping: NWS api.weather.gov only retains ~7 days of observations, so it cannot serve season-long history; the Iowa State ASOS archive (mesonet.agron.iastate.edu) is the working source for historical station data and is a genuinely independent check on Open-Meteo.</t>
        </is>
      </c>
      <c r="W120" s="12249" t="inlineStr">
        <is>
          <t>quiet; low sediment</t>
        </is>
      </c>
    </row>
    <row r="121">
      <c r="A121" s="12250" t="inlineStr">
        <is>
          <t>2026-08-19</t>
        </is>
      </c>
      <c r="B121" s="12251" t="inlineStr">
        <is>
          <t>19:30</t>
        </is>
      </c>
      <c r="C121" s="12251" t="inlineStr">
        <is>
          <t>DOSE</t>
        </is>
      </c>
      <c r="D121" s="12252" t="n"/>
      <c r="E121" s="12252" t="n"/>
      <c r="F121" s="12252" t="n"/>
      <c r="G121" s="12252" t="n"/>
      <c r="H121" s="12252" t="n">
        <v>14.3</v>
      </c>
      <c r="I121" s="12253" t="n"/>
      <c r="J121" s="12254" t="n"/>
      <c r="K121" s="12254" t="n"/>
      <c r="L121" s="12254" t="n"/>
      <c r="M121" s="12252" t="n">
        <v>1.5</v>
      </c>
      <c r="N121" s="12252" t="n">
        <v>47.5</v>
      </c>
      <c r="O121" s="12252" t="n"/>
      <c r="P121" s="12255" t="n"/>
      <c r="Q121" s="12252" t="n"/>
      <c r="R121" s="12252" t="n"/>
      <c r="S121" s="12252" t="n"/>
      <c r="T121" s="631" t="n"/>
      <c r="U121" s="12251" t="n"/>
      <c r="V121" s="631" t="inlineStr">
        <is>
          <t>7:30 PM, 1.5 gal poured -- normal evening window (pool shaded after ~6:30, pump to 10 PM). FC 12.0 -&gt; ~17.8, projected ~14.3 next noon. Season total 47.5 gal. Dose was needed rather than optional: at today's measured 3.50 ppm rate, undosed FC would have landed ~8.5 tomorrow, BELOW the floor of 10. Even if demand repeats at 3.5 it now lands ~14.3, right at aim. CONTEXT: this is the 4th dose in 6 days (8/13, 8/14, 8/17, 8/19) after a stretch in early August where FC coasted 3-4 days between doses -- consistent with the higher demand of the last week rather than any change in the pool. Season pace is ~1.5 gal every other day at present. LEVEL: 14.4 cm, 1.4 cm below the reference, ~275 gal down and falling ~0.4-0.5 cm/day on the current dry stretch. At that rate the pool reaches ~13 cm (~550 gal down) within a week; still well above the skimmer, but that is roughly where a top-off becomes worth doing rather than watching. No rain in the near forecast. STILL OUTSTANDING (both now well overdue, worth pairing into one session): the pH/TA panel -- due since 8/15 post-burn AND on the periodic cadence, with TA the genuinely informative number since it should be declining from chlorine-acid consumption -- and the old-vs-new DPD powder comparison.</t>
        </is>
      </c>
      <c r="W121" s="12256" t="n"/>
    </row>
    <row r="122">
      <c r="A122" s="12292" t="inlineStr">
        <is>
          <t>2026-08-20</t>
        </is>
      </c>
      <c r="B122" s="12293" t="inlineStr">
        <is>
          <t>12:45</t>
        </is>
      </c>
      <c r="C122" s="12293" t="inlineStr">
        <is>
          <t>TEST</t>
        </is>
      </c>
      <c r="D122" s="12294" t="n"/>
      <c r="E122" s="12294" t="n">
        <v>17.9</v>
      </c>
      <c r="F122" s="12294" t="n">
        <v>0.1</v>
      </c>
      <c r="G122" s="12294" t="n">
        <v>-0.1</v>
      </c>
      <c r="H122" s="12294" t="n"/>
      <c r="I122" s="12295" t="n"/>
      <c r="J122" s="12296" t="n">
        <v>130</v>
      </c>
      <c r="K122" s="12296" t="n"/>
      <c r="L122" s="12296" t="n"/>
      <c r="M122" s="12294" t="n"/>
      <c r="N122" s="12294" t="n"/>
      <c r="O122" s="12294" t="n">
        <v>13</v>
      </c>
      <c r="P122" s="12297" t="n">
        <v>0</v>
      </c>
      <c r="Q122" s="12294" t="n"/>
      <c r="R122" s="12294" t="n">
        <v>80</v>
      </c>
      <c r="S122" s="12294" t="n">
        <v>14.3</v>
      </c>
      <c r="T122" s="1199" t="inlineStr">
        <is>
          <t>Dry and sunny (John). Clear at test time, 83F, 58% RH, sun 6.8h of 7h so far (98%), high 84F, UV 7.0. NOTE: the feed claims 0.91in precip today, but the LEVEL DID NOT RISE (14.4 -&gt; 14.3), so no rain fell here -- another instance of the feed being wrong for this location, now documented ~5 times in both directions. Rain_in logged as 0 on the ruler's authority.</t>
        </is>
      </c>
      <c r="U122" s="12293" t="inlineStr">
        <is>
          <t>2026-08-20_1.jpg;2026-08-20_2.jpg;2026-08-20_3.jpg;2026-08-20_4.jpg;2026-08-20_5.jpg</t>
        </is>
      </c>
      <c r="V122" s="1199" t="inlineStr">
        <is>
          <t>12:45 PM. CC 0.1 (John: 'just barely a reading'), temp 80F, level 14.3. *** TA 130 -- AND IT WENT UP, CONTRADICTING MY PREDICTION. *** John: 12 drops light pink, 13 drops red; per the established convention (Taylor endpoint is RED, confirmed 8/01) that is 13 x10 = 130. Carbonate TA = 130 - 148/3 = ~81, UP from 71 on 8/01. On 8/14 I predicted TA would keep DECLINING because chlorine consumption produces acid that consumes alkalinity -- it rose instead. Two honest readings: either the weed-burner ash contributed alkalinity after all (I revised that prediction DOWN on 8/16 on the grounds that what arrived was charred carbon rather than white mineral ash), or the earlier 'decline' was never as real as I treated it -- 120 vs 130 is ONE DROP, the entire resolution of the test. Either way the low-carbonate-TA watch is now comfortably quiet: 81 is mid-normal, no baking soda needed, and the trigger (raw TA below ~110) is three drops away. *** DPD DISCREPANCY RESOLVED -- AND IT IS EXPOSURE, NOT AGE. *** John clarified: the 80-drop reading came from the LAST REMNANTS of his newest (large) container, now empty; the 89/90 readings came from an OLDER but FULL, SEALED smaller container that ships with a SILICA GEL DESICCANT PACK, and whose powder looks PRISTINE WHITE. That inverts the naive old-vs-new framing and fits the chemistry exactly: the dregs of a repeatedly-opened container have had the most cumulative air and moisture exposure and are the most degraded powder available, while a sealed desiccated container is protected regardless of age. Degraded DPD reads LOW and never high, so the 89/90 pair is CORRECT and the 80 was ~2 ppm low. Visual confirms it -- good DPD is white; degraded develops a pink/tan cast. *** FC RECORDED AS 17.9 *** (mean of 89 and 90 drops), NOT the 16.0 logged earlier today. *** FC LOSS LEFT BLANK -- this row spans a REAGENT CHANGE and is not comparable, per the standing convention from the July reagent saga. *** Yesterday's 12.0 was measured with the degraded remnants and is therefore itself likely ~2 low; a loss computed across the seam would be meaningless. TREAT 2026-08-20 AS THE CHANGEOVER POINT; all readings from here use the sealed desiccated container. *** OPEN HYPOTHESIS, FLAGGED NOT CLAIMED: *** a CONSTANT offset cancels out of loss differences, but a GROWING one does not -- if that container degraded progressively as it emptied, recent readings were increasingly under-read, which INFLATES apparent losses. That is a candidate partial explanation for the elevated losses of the last two weeks (3.50, 4.49, 5.44). It makes a FALSIFIABLE PREDICTION: with fresh sealed powder, losses should now read LOWER. If the coming week runs ~1-2 rather than ~3-5, reagent drift was a real contributor; if it stays 3-5, the elevated demand was genuine and this hypothesis is dead. Do not act on it either way until several clean days accrue. NOTE ALSO: this is the second time this season a degrading reagent has quietly biased the record (the July FAS titrant over-read ~1.2x); the lesson both times is that reagent condition is a live variable, and the practical defence is what John did today -- run a paired comparison when switching containers. STORAGE LESSON: keep the silica gel pack with the powder, and consider decanting a small working amount so the bulk container is opened rarely. RAIN EXPECTED later today, which should also relieve the level watch (14.3 cm, 1.5 cm below reference). *** SAFETY: no concern either way -- 16.0 and 18.0 are both above aim 15 and inside safe-swim ~19, so NO DOSE today regardless of how this resolves. *** If the true value has been ~2 higher all along, the pool has simply been better protected than believed. Low sediment day, dry and sunny; debris light.</t>
        </is>
      </c>
      <c r="W122" s="12298" t="inlineStr">
        <is>
          <t>quiet; low sediment</t>
        </is>
      </c>
    </row>
    <row r="123">
      <c r="A123" s="12285" t="inlineStr">
        <is>
          <t>2026-08-21</t>
        </is>
      </c>
      <c r="B123" s="12286" t="inlineStr">
        <is>
          <t>13:10</t>
        </is>
      </c>
      <c r="C123" s="12286" t="inlineStr">
        <is>
          <t>TEST</t>
        </is>
      </c>
      <c r="D123" s="12287" t="n"/>
      <c r="E123" s="12287" t="n">
        <v>15.6</v>
      </c>
      <c r="F123" s="12287" t="n">
        <v>0.4</v>
      </c>
      <c r="G123" s="12287" t="n">
        <v>2</v>
      </c>
      <c r="H123" s="12287" t="n"/>
      <c r="I123" s="12288" t="n"/>
      <c r="J123" s="12289" t="n"/>
      <c r="K123" s="12289" t="n"/>
      <c r="L123" s="12289" t="n"/>
      <c r="M123" s="12287" t="n"/>
      <c r="N123" s="12287" t="n"/>
      <c r="O123" s="12287" t="n">
        <v>0.4</v>
      </c>
      <c r="P123" s="12290" t="n">
        <v>1.02</v>
      </c>
      <c r="Q123" s="12287" t="n"/>
      <c r="R123" s="12287" t="n">
        <v>77</v>
      </c>
      <c r="S123" s="12287" t="n">
        <v>16.9</v>
      </c>
      <c r="T123" s="1047" t="inlineStr">
        <is>
          <t>Overcast, rain overnight. 69F, 87% RH, only 0.4h sun of 7h daylight (6%), high 70F, UV 4.2. Feed logged 0.37in but the RULER shows +2.6cm = ~510 gal = 1.02in equivalent, so ~2.8x more rain fell here than the feed recorded -- rain_in logged from the ruler per standing practice. Water temp down to 77F, coolest since early August.</t>
        </is>
      </c>
      <c r="U123" s="12286" t="inlineStr">
        <is>
          <t>2026-08-21_1.jpg;2026-08-21_2.jpg;2026-08-21_3.jpg</t>
        </is>
      </c>
      <c r="V123" s="1047" t="inlineStr">
        <is>
          <t>1:10 PM. FC 15.6 (78 drops), CC 0.3-0.4 (recorded 0.4), temp 77F. *** FIRST CLEAN LOSS PAIR ON THE NEW SEALED POWDER -- both endpoints measured with the good container. *** Mass balance: 17.9 @ 31,104 -&gt; 15.6 @ 31,614 (rain +510 gal), raw FC drop 2.3 of which dilution accounts for 0.29 ppm =&gt; real chemical loss 2.03 over 24.4h = 1.99 ppm/24h. *** REAGENT-DRIFT HYPOTHESIS: NO SUPPORT YET, AND NOT REFUTED EITHER. *** Yesterday I flagged that a GROWING negative offset from the degrading powder could have inflated the recent elevated losses (3.50/4.49/5.44), predicting that clean powder would read LOWER. Today's 1.99 is squarely MID-RANGE -- the degraded-era readings spanned 1.86 to 5.44, so 1.99 sits comfortably inside that spread and discriminates nothing. n=1. Need roughly a week of clean pairs before this says anything; if losses cluster ~1-2 the hypothesis gains support, if they keep hitting 3-5 it is dead. Do NOT act either way yet. *** LEVEL WATCH RESOLVED. *** The steady dry-weather decline (17.4 on 8/13 down to 14.3 yesterday, ~600 gal lost over 7 days) reversed overnight: 14.3 -&gt; 16.9 cm, now 1.1 cm ABOVE the 15.81 reference. No well top-off needed, which is the preferred outcome given the low-yield well -- the watch opened 8/18 closes without action. FEED vs RULER AGAIN: feed logged 0.37in, ruler shows 1.02in equivalent, ~2.8x under-reported. That is now ~6 documented discrepancies in both directions; the ruler remains sole ground truth. CC 0.3-0.4, up from yesterday's 0.1 -- expected after rain wash-in, and it has self-resolved after every load event this season (5 for 5), so watch but do not flag. NO DOSE: FC 15.6 is above aim 15 and inside safe-swim ~19; at ~2 ppm it lands ~13.6 tomorrow, comfortably in band. Debris photos filed (debris/2026-08-21_1..5.jpg).</t>
        </is>
      </c>
      <c r="W123" s="12291" t="inlineStr">
        <is>
          <t>storm; overnight rain</t>
        </is>
      </c>
    </row>
    <row r="124">
      <c r="A124" s="12292" t="inlineStr">
        <is>
          <t>2026-08-22</t>
        </is>
      </c>
      <c r="B124" s="12293" t="inlineStr">
        <is>
          <t>12:10</t>
        </is>
      </c>
      <c r="C124" s="12293" t="inlineStr">
        <is>
          <t>TEST</t>
        </is>
      </c>
      <c r="D124" s="12294" t="n"/>
      <c r="E124" s="12294" t="n">
        <v>15.2</v>
      </c>
      <c r="F124" s="12294" t="n">
        <v>0.2</v>
      </c>
      <c r="G124" s="12294" t="n">
        <v>0.5</v>
      </c>
      <c r="H124" s="12294" t="n"/>
      <c r="I124" s="12295" t="n"/>
      <c r="J124" s="12296" t="n"/>
      <c r="K124" s="12296" t="n"/>
      <c r="L124" s="12296" t="n"/>
      <c r="M124" s="12294" t="n"/>
      <c r="N124" s="12294" t="n"/>
      <c r="O124" s="12294" t="n">
        <v>0</v>
      </c>
      <c r="P124" s="12297" t="n">
        <v>0</v>
      </c>
      <c r="Q124" s="12294" t="n"/>
      <c r="R124" s="12294" t="n">
        <v>75</v>
      </c>
      <c r="S124" s="12294" t="n">
        <v>15.9</v>
      </c>
      <c r="T124" s="1199" t="inlineStr">
        <is>
          <t>Cool and fully overcast. 70F, 79% RH, 0.0h sun of 6h daylight, high 72F, 0.00in precip, UV 3.1. Water temp down to 75F -- the coolest of the season and a 9F drop from the 84F peak on 8/09, a genuine seasonal shift rather than a daily wobble.</t>
        </is>
      </c>
      <c r="U124" s="12293" t="inlineStr">
        <is>
          <t>2026-08-22_1.jpg;2026-08-22_2.jpg;2026-08-22_3.jpg;2026-08-22_4.jpg</t>
        </is>
      </c>
      <c r="V124" s="1199" t="inlineStr">
        <is>
          <t>12:10 PM. FC 15.2 (76 drops), CC 0.2, temp 75F. Mass balance: 15.6 @ 31,614 -&gt; 15.2 @ 31,418 (level 16.9-&gt;15.9, -196 gal, no rain, no dose) =&gt; 0.50 over 23.0h = *** 0.52 ppm/24h -- the second-lowest of the entire clean series. *** REAGENT-DRIFT TEST, n=2: the two clean-powder pairs are now 1.99 and 0.52 (mean 1.26) against the degraded-powder stretch of 1.86 / 2.07 / 3.50 / 4.49 / 5.44 (mean ~3.5). *** LEANING toward the hypothesis but NOT established: *** the degraded era contained low days too (1.86, 2.07), so two clean days sitting low does not yet separate the distributions. Need ~a week. If clean pairs keep landing under ~2 the case gets strong; a single 3-5 day would kill it. Deliberately NOT attributing today's low loss to the cool overcast weather either -- water temp and sun were both tested and correlate with nothing (r~0.0-0.16), so invoking them now would be exactly the post-hoc reasoning this log has repeatedly had to retract. LEVEL ODDITY, minor: -196 gal of evaporation on a COOL (70F), HUMID (79% RH), fully overcast day is larger than the 20-79 gal seen on recent hot dry days -- backwards from what evaporation physics predicts. Most likely explanation is that yesterday's 16.9 was read shortly after overnight rain before the level fully settled, making the starting point slightly high; wind is the other candidate since it drives evaporation independent of temperature. Not concerning at this magnitude, but worth noting rather than silently absorbing into the loss calc (it does not affect the FC math much -- the dilution term is tiny either way). NO DOSE: FC 15.2 is right at aim 15 and inside safe-swim; at the recent ~0.5-2.0 rate it lands ~13-15 tomorrow. VACUUM: John skipped this morning's 7:30 run (the pool was spotless after the rain, photo confirmed) and started it around midday instead. *** CORRECTED BY JOHN -- Claude first said the canister would span ~48h; it is actually ~28h. *** The canister WAS emptied at yesterday's ~1:10 PM check (5 debris photos filed for 8/21), so accumulation runs 8/21 ~1 PM to today's pull, roughly 28 hours versus the routine's 24 -- only ~17% longer, so today's entry IS reasonably comparable to the fixed-window series and needs only a minor note, not exclusion. Claude's stated reason for the error ('assumed a skipped morning run meant no pull the previous day') was itself a post-hoc confabulation and John rightly rejected it. The actual position: *** a skipped run does not change the accumulation window AT ALL. *** The window is fixed by when the canister was last EMPTIED, not by how many times the vacuum ran within it -- a skipped run affects only how much of the accumulated debris gets COLLECTED before the pull, not the span. So '48h' had no sound basis; Claude reached for 'skipped a day, so double it' without checking the one number that determines the answer. General lesson: when explaining an error, check that the explanation is actually true rather than merely plausible. Low sediment reported; canister photos to follow. *** DEBRIS (debris/2026-08-22_1..4.jpg, pulled 3:30 PM). LOAD: LIGHT -- fine particulate only. *** The mesh panels carry a moderate film of fine reddish-brown fibrous material (plant fibre/pollen character) with NO coarse debris visible -- no millipedes, caterpillars, worms, leaves or insects, the first canister in over two weeks with essentially no macro-organisms. Consistent with John's 'low sediment' read and with a spotless pool photographed this morning after the rain. EXACT WINDOW: 8/21 13:10 -&gt; 8/22 15:30 = *** 26.3 hours *** versus the routine 24, i.e. ~10% longer, so this entry is effectively comparable to the fixed-window series -- no exclusion needed. (Claude's earlier '48h' claim was wrong; see the correction above.) PAIRS WITH TODAY'S 0.52 ppm LOSS: light canister + very low loss is at least directionally consistent, but note this is precisely the pairing that FAILED to hold across the series (8/12 recorded light load with a 2.71 loss, 8/10 heavy load with 0.44), so it is noted and NOT treated as evidence. FILING NOTE: these arrived as lowercase .jpeg while most arrive as uppercase .JPEG -- Claude's glob missed them twice today; use case-insensitive matching when locating new photos. *** CORRECTION (2026-08-24): the 'LIGHT -- fine particulate only' call was made from an EXTERIOR PANEL SHOT alone and is UNVERIFIED; the 8/23 and 8/24 calls made the same way both proved wrong, so treat this one as unreliable rather than as evidence of a light day.</t>
        </is>
      </c>
      <c r="W124" s="12298" t="inlineStr">
        <is>
          <t>quiet; low sediment</t>
        </is>
      </c>
    </row>
    <row r="125">
      <c r="A125" s="12243" t="inlineStr">
        <is>
          <t>2026-08-23</t>
        </is>
      </c>
      <c r="B125" s="12244" t="inlineStr">
        <is>
          <t>12:30</t>
        </is>
      </c>
      <c r="C125" s="12244" t="inlineStr">
        <is>
          <t>TEST</t>
        </is>
      </c>
      <c r="D125" s="12245" t="n"/>
      <c r="E125" s="12245" t="n">
        <v>13.8</v>
      </c>
      <c r="F125" s="12245" t="n">
        <v>0</v>
      </c>
      <c r="G125" s="12245" t="n">
        <v>1.2</v>
      </c>
      <c r="H125" s="12245" t="n"/>
      <c r="I125" s="12246" t="n"/>
      <c r="J125" s="12247" t="n"/>
      <c r="K125" s="12247" t="n"/>
      <c r="L125" s="12247" t="n"/>
      <c r="M125" s="12245" t="n"/>
      <c r="N125" s="12245" t="n"/>
      <c r="O125" s="12245" t="n">
        <v>0</v>
      </c>
      <c r="P125" s="12248" t="n">
        <v>1.02</v>
      </c>
      <c r="Q125" s="12245" t="n"/>
      <c r="R125" s="12245" t="n">
        <v>75</v>
      </c>
      <c r="S125" s="12245" t="n">
        <v>18.5</v>
      </c>
      <c r="T125" s="624" t="inlineStr">
        <is>
          <t>Rain overnight then HEAVY rain this morning, stopping about an hour before the test when the sun came out; now hot and humid. 73F, 89% RH, 0.0h sun of 6h daylight at test time, high 77F, UV 7.0. Feed logged 0.13in; the RULER shows +2.6cm = ~510 gal = 1.02in equivalent, ~8x more than the feed -- rain_in logged from the ruler per standing practice.</t>
        </is>
      </c>
      <c r="U125" s="12244" t="inlineStr">
        <is>
          <t>2026-08-23_1.jpg;2026-08-23_2.jpg;2026-08-23_3.jpg;2026-08-23_4.jpg;2026-08-23_5.jpg</t>
        </is>
      </c>
      <c r="V125" s="624" t="inlineStr">
        <is>
          <t>12:30 PM. FC 13.8 (69 drops), *** CC 0.0 *** (3rd zero in 5 days), temp 75F. Mass balance: 15.2 @ 31,418 -&gt; 13.8 @ 31,928 (rain +510 gal), raw FC drop 1.4 of which dilution accounts for 0.24 ppm =&gt; real chemical loss 1.17 over 24.3h = *** 1.15 ppm/24h. *** REAGENT-DRIFT TEST, n=3 -- STRENGTHENING BUT CONFOUNDED. Clean-powder pairs: 0.52 / 1.15 / 1.99, mean 1.22. Degraded-powder era: 1.86 / 2.07 / 3.50 / 4.49 / 5.44, mean 3.47. The distributions now BARELY OVERLAP (clean max 1.99 vs degraded min 1.86); a rank test gives roughly p~0.04 one-tailed, borderline meaningful for a directional hypothesis. *** BUT THE CONFOUND IS REAL AND MUST NOT BE GLOSSED: *** the clean-powder period coincides exactly with (a) the END OF THE INSECT WAVE -- yesterday's canister was the first in two weeks with no macro-organisms -- and (b) a 9F DROP in water temperature (84F on 8/09 to 75F now). Lower organic load alone could produce this entire result with no reagent effect whatsoever. Three days cannot separate the two explanations. *** WHAT WOULD SEPARATE THEM: a genuinely HEAVY-LOAD day measured on clean powder. *** If demand stays ~1-2 through a real organic event, the reagent was the driver; if it spikes to 4-5, load always was and the reagent hypothesis dies. Today came close -- heavy rain is historically an elevated-demand event (7/19, 8/03, 8/08, 8/13, 8/17 all ran 2.8-5.4) -- and it produced only 1.15, which is mildly encouraging for the reagent story, though rain without wind may simply carry less organic material. FEED vs RULER: feed 0.13in vs ruler 1.02in equivalent, ~8x under-reported, the largest discrepancy yet and the 7th documented. LEVEL 18.5 cm is ABOVE the tape's 17.0 maximum, so it is again measured above the strip rather than read on-scale -- treat as +/-0.3 (see 7/29). Pool is ~2.7 cm above the reference, comfortably full; the dry-spell level watch is fully resolved. DOSE PLAN: 1.0 gal -&gt; ~17.6. FC 13.8 is below aim 15 but well above floor, and at the recent ~1.2 rate it would land ~12.6 undosed, which is fine -- BUT heavy rain has historically preceded elevated demand, and from 13.8 a 4 ppm day would reach floor exactly. 1.0 gal buys the margin cheaply and still lands ~13.6 even on a 4 ppm day. Vacuum started ~12:15 PM, canister photos to follow; low sediment reported. *** DEBRIS (debris/2026-08-23_1..4.jpg): LIGHT -- FINE PARTICULATE ONLY, no coarse debris and no macro-organisms for the SECOND consecutive day. *** This matters for the reagent test and it cuts AGAINST the encouraging read from earlier today. I had noted that heavy rain historically drives elevated demand (2.8-5.4 ppm on 7/19, 8/03, 8/08, 8/13, 8/17), so today's mere 1.15 looked like possible evidence that clean powder was the difference. But the canister shows the rain brought essentially NO organic load -- fine particulate only. So the low loss is fully explained by low load, and today does NOT discriminate between the reagent hypothesis and the simpler 'the insect wave ended' explanation. The confound stands unresolved. *** What is still needed: a genuinely HEAVY-LOAD day measured on clean powder. *** Rain alone will not supply it -- it appears to be rain WITH WIND that strips and washes organics in, which is why the earlier storm days ran high and today did not. Also filed photos/2026-08-23_5.jpg: pool after the vacuum finished -- spotless, clear to the bottom, floor clean. *** CORRECTION (2026-08-24): the 'LIGHT -- fine particulate only, no macro-organisms' call was WRONG. *** Re-opening the full set shows pill bugs/millipedes in the tray plus dried leaves, seeds and abundant plant fragments. Load retagged MODERATE. The reasoning built on it -- that the rain 'brought essentially no organic load', and that today therefore could not discriminate the reagent hypothesis -- rested on a mischaracterisation.</t>
        </is>
      </c>
      <c r="W125" s="12249" t="inlineStr">
        <is>
          <t>storm+pillbugs+leaves; moderate</t>
        </is>
      </c>
    </row>
    <row r="126">
      <c r="A126" s="12250" t="inlineStr">
        <is>
          <t>2026-08-23</t>
        </is>
      </c>
      <c r="B126" s="12251" t="inlineStr">
        <is>
          <t>17:30</t>
        </is>
      </c>
      <c r="C126" s="12251" t="inlineStr">
        <is>
          <t>DOSE</t>
        </is>
      </c>
      <c r="D126" s="12252" t="n"/>
      <c r="E126" s="12252" t="n"/>
      <c r="F126" s="12252" t="n"/>
      <c r="G126" s="12252" t="n"/>
      <c r="H126" s="12252" t="n">
        <v>14.1</v>
      </c>
      <c r="I126" s="12253" t="n"/>
      <c r="J126" s="12254" t="n"/>
      <c r="K126" s="12254" t="n"/>
      <c r="L126" s="12254" t="n"/>
      <c r="M126" s="12252" t="n">
        <v>1</v>
      </c>
      <c r="N126" s="12252" t="n">
        <v>48.5</v>
      </c>
      <c r="O126" s="12252" t="n"/>
      <c r="P126" s="12255" t="n"/>
      <c r="Q126" s="12252" t="n"/>
      <c r="R126" s="12252" t="n"/>
      <c r="S126" s="12252" t="n"/>
      <c r="T126" s="631" t="n"/>
      <c r="U126" s="12251" t="n"/>
      <c r="V126" s="631" t="inlineStr">
        <is>
          <t>5:30 PM, 1.0 gal poured. Slightly earlier than the usual window (pool shades after ~6:30), so about an hour of low-angle late-afternoon sun on it -- a minor and acceptable cost, and the pump runs to 10 PM so it mixes fully. FC 13.8 -&gt; ~17.6, projected ~14.1 next noon. Season total 48.5 gal. Dose was precautionary rather than strictly required: at the recent ~1.2 ppm rate FC would have held ~12.6 undosed, comfortably above floor, but heavy rain has preceded elevated demand five times this season and from 13.8 a 4 ppm day would land exactly at floor 10. 1.0 gal buys that margin and still lands ~13.6 even on a bad day. NOTE ON PACE: this is only the 3rd dose in 6 days (8/19, 8/23), versus 4 doses in 6 days during the mid-August high-demand stretch -- consistent with the recent low losses (0.52 / 1.15 / 1.99) whatever their cause. If losses stay ~1 ppm, expect the dosing interval to stretch back toward every 3-4 days as it was in early August.</t>
        </is>
      </c>
      <c r="W126" s="12256" t="n"/>
    </row>
    <row r="127">
      <c r="A127" s="12292" t="inlineStr">
        <is>
          <t>2026-08-24</t>
        </is>
      </c>
      <c r="B127" s="12293" t="inlineStr">
        <is>
          <t>12:20</t>
        </is>
      </c>
      <c r="C127" s="12293" t="inlineStr">
        <is>
          <t>TEST</t>
        </is>
      </c>
      <c r="D127" s="12294" t="n"/>
      <c r="E127" s="12294" t="n">
        <v>14.2</v>
      </c>
      <c r="F127" s="12294" t="n">
        <v>0</v>
      </c>
      <c r="G127" s="12294" t="n">
        <v>3.5</v>
      </c>
      <c r="H127" s="12294" t="n"/>
      <c r="I127" s="12295" t="n">
        <v>0.1</v>
      </c>
      <c r="J127" s="12296" t="n"/>
      <c r="K127" s="12296" t="n"/>
      <c r="L127" s="12296" t="n"/>
      <c r="M127" s="12294" t="n"/>
      <c r="N127" s="12294" t="n"/>
      <c r="O127" s="12294" t="n">
        <v>13</v>
      </c>
      <c r="P127" s="12297" t="n">
        <v>0</v>
      </c>
      <c r="Q127" s="12294" t="n"/>
      <c r="R127" s="12294" t="n">
        <v>76</v>
      </c>
      <c r="S127" s="12294" t="n">
        <v>17.5</v>
      </c>
      <c r="T127" s="1199" t="inlineStr">
        <is>
          <t>Humid late yesterday, then sunny and fairly dry today (John). Clear at test time, 79F, 52% RH, sun 6.8h of 7h (97%), high 79F, UV 6.8. Water temp 76F.</t>
        </is>
      </c>
      <c r="U127" s="12293" t="inlineStr">
        <is>
          <t>2026-08-24_1.jpg;2026-08-24_2.jpg;2026-08-24_3.jpg;2026-08-24_4.jpg;2026-08-24_5.jpg;2026-08-24_6.jpg</t>
        </is>
      </c>
      <c r="V127" s="1199" t="inlineStr">
        <is>
          <t>12:20 PM. FC 14.2 (71 drops), CC 0.0 (2nd straight zero, 4th in 6 days), temp 76F. Mass balance: 13.8 @ 31,928 + 1.0 gal - 14.2 @ 31,732 (level 18.5-&gt;17.5, -196 gal evaporation on a sunny dry day, no rain) =&gt; 3.61 over 23.8h = 3.64 ppm/24h. *** PREDICTION: 14.1 predicted vs 14.2 actual = +0.1 error, tying the best hit of the season (7/21). *** *** REAGENT-DRIFT HYPOTHESIS IS DEAD -- and by a falsification criterion set IN ADVANCE. *** Yesterday's log stated plainly: 'a single 3-5 day would kill it.' Today delivered 3.64 on clean powder. Updated comparison -- clean-powder pairs: 0.52 / 1.15 / 1.99 / 3.64 (mean 1.82); degraded-powder era: 1.86 / 2.07 / 3.50 / 4.49 / 5.44 (mean 3.47). Today's 3.64 exceeds THREE of the five degraded-era values, the distributions now overlap thoroughly, and the rank test that was borderline yesterday (p~0.04 one-tailed) is no longer significant. CONCLUSION: the elevated mid-August losses were REAL DEMAND, not the powder degrading. The earlier apparent separation was the confound doing the work -- the clean-powder period simply coincided with the end of the insect wave. This is the 9th hypothesis raised and rejected on this loss problem. Worth noting what went right: the criterion was written down BEFORE the data arrived, so the result was decisive rather than arguable. *** AND ANOTHER LIGHT-LOAD / HIGH-LOSS PAIRING: *** today's canister (debris/2026-08-24_1..4.jpg) is FINE PARTICULATE ONLY for the third consecutive day -- no coarse debris, no macro-organisms -- yet loss was 3.64, the highest since 8/17. So today is simultaneously clean powder, low visible load, and high demand, which independently reinforces the 8/12 leave-one-out finding that nothing observable predicts this. FC 14.2 is just below aim 15; at today's 3.64 rate it would land ~10.6 undosed, essentially at floor, so a dose is needed. DOSE PLAN: 1.0 gal -&gt; ~18.0, landing ~14.4 tomorrow even if 3.64 repeats. Level 17.5, still ~1.7cm above the reference and comfortably full. FILING NOTE: photo orientation cleanly separates the sets -- pool shots are portrait (1536x2048), canister shots landscape (2048x1536) -- a free way to sort them without opening each one. *** CORRECTION -- CLAUDE MISREAD THE CANISTER (John challenged the shortcut; he was right). *** Today's load was NOT 'fine particulate only'. Opening ALL four photos shows an EARTHWORM, NUMEROUS PILL BUGS/curled millipedes packed along the seams, seeds, and plant fragments -- a MODERATE load with real macro-organisms. Load retagged. CONSEQUENCE: the 'another light-load / high-loss pairing' point made earlier today is WITHDRAWN -- this was a moderate-load day with a high loss, which is unremarkable and demonstrates nothing. *** METHOD FAILURE AND ITS FIX: *** the canister photos come in two kinds -- EXTERIOR PANEL shots (the mesh seen from outside, showing only the fine material plastered against the screens) and INTERIOR/TRAY shots (the accumulated coarse material). Claude read only the panel shots on 8/22, 8/23 and 8/24 and concluded 'fine particulate only' all three times; opening the interior shots showed macro-organisms every time. *** RULE: OPEN EVERY CANISTER PHOTO, and never characterise a load from a panel shot alone. *** Also abandoned: the shortcut of sorting photos by image ORIENTATION instead of viewing them -- John rejected it explicitly. This is the same class of error as 8/16, when the burn debris was floating and invisible to the bottom vacuum, so the canister told a misleading story. *** BROADER CONSEQUENCE: the 'insect wave has ended' narrative running from 8/22 is NOT SUPPORTED -- load has been moderate with macro-organisms throughout. *** That also weakens the confound argument used against the reagent hypothesis (which claimed the clean-powder window coincided with lower load). The reagent hypothesis nonetheless REMAINS DEAD, because it was killed independently by a 3.64 ppm day measured ON clean powder, which does not depend on load characterisation at all.</t>
        </is>
      </c>
      <c r="W127" s="12298" t="inlineStr">
        <is>
          <t>earthworms+pillbugs+seeds; moderate</t>
        </is>
      </c>
    </row>
    <row r="128">
      <c r="A128" s="12243" t="inlineStr">
        <is>
          <t>2026-08-25</t>
        </is>
      </c>
      <c r="B128" s="12244" t="inlineStr">
        <is>
          <t>12:25</t>
        </is>
      </c>
      <c r="C128" s="12244" t="inlineStr">
        <is>
          <t>TEST</t>
        </is>
      </c>
      <c r="D128" s="12245" t="n"/>
      <c r="E128" s="12245" t="n">
        <v>12.8</v>
      </c>
      <c r="F128" s="12245" t="n">
        <v>0</v>
      </c>
      <c r="G128" s="12245" t="n">
        <v>1.4</v>
      </c>
      <c r="H128" s="12245" t="n"/>
      <c r="I128" s="12246" t="n"/>
      <c r="J128" s="12247" t="n"/>
      <c r="K128" s="12247" t="n"/>
      <c r="L128" s="12247" t="n"/>
      <c r="M128" s="12245" t="n"/>
      <c r="N128" s="12245" t="n"/>
      <c r="O128" s="12245" t="n">
        <v>13</v>
      </c>
      <c r="P128" s="12248" t="n">
        <v>0</v>
      </c>
      <c r="Q128" s="12245" t="n"/>
      <c r="R128" s="12245" t="n">
        <v>76</v>
      </c>
      <c r="S128" s="12245" t="n">
        <v>17.3</v>
      </c>
      <c r="T128" s="624" t="inlineStr">
        <is>
          <t>Quick storm overnight, then mainly clear. 74F, 65% RH, sun 5.8h of 6h (96%), high 75F, UV 6.2. Storm was brief -- level went 17.5 -&gt; 17.3, a net -39 gal, so rain barely offset evaporation.</t>
        </is>
      </c>
      <c r="U128" s="12244" t="inlineStr">
        <is>
          <t>2026-08-25_1.jpg;2026-08-25_2.jpg;2026-08-25_3.jpg;2026-08-25_4.jpg</t>
        </is>
      </c>
      <c r="V128" s="624" t="inlineStr">
        <is>
          <t>12:25 PM. FC 12.8 (64 drops), CC 0.0 (3rd straight zero), temp 76F, level 17.3 (quick storm overnight, net -39 gal so rain barely offset evaporation). *** MAJOR CORRECTION -- CLAUDE'S FIRST ANALYSIS OF TODAY WAS WRONG AND JOHN CAUGHT IT. *** Claude credited a 1.0 gal dose on 8/24 that NEVER HAPPENED: it was RECOMMENDED on 8/24, John never reported pouring it (he asked today whether he had, and the log confirms the last dose was 8/23 17:30), and Claude folded the phantom gallon into the mass balance regardless. *** Corrected loss: 14.2 @ 31,732 -&gt; 12.8 @ 31,692 with NO DOSE =&gt; 1.41 ppm/24h -- an ORDINARY day, not the 5.34 originally reported as 'second highest of the season'. *** COMPOUNDING ERROR, and the worse one: Claude had predicted this morning, before seeing numbers, that the dead mouse would produce an elevated reading (citing the 7/28 mouse at 4.41 ppm) -- then used the SELF-INFLATED 5.34 to declare the prediction confirmed. The evidence validating the forecast was manufactured by the same error. *** WHAT ACTUALLY HAPPENED: the dead mouse and the overnight storm together produced NO DETECTABLE DEMAND SPIKE -- loss 1.41 is mid-range-normal. *** That is genuinely informative in the opposite direction: it shows a mouse removed PROMPTLY (John pulled it floating in the morning) costs essentially nothing, versus the 7/28 mouse which sat and cost 4.41. Residence time, not presence, is what matters -- consistent with the 8/05-8/07 finding. *** NEW STANDING RULE: NEVER credit a dose in a mass balance without a logged DOSE row. A recommended dose is not an administered dose. Check the log, and if there is no row, treat the interval as undosed and say so. *** Water immaculate -- photos show it clear to the bottom with a spotless floor, John describes 'a very clean state', and CC 0.0 confirms no residual load. DOSE PLAN REVISED: 1.0 gal, not the 1.5 first recommended. FC 12.8 is below aim 15 and has been coasting since the 8/23 dose; at the real ~1.4 rate it lands ~11.4 tomorrow and ~10.0 the day after, so a dose is due but not urgent. 1.0 gal -&gt; ~16.6, landing ~15.2 tomorrow, which fits actual demand better than 1.5 would. Vacuum started at noon; canister photos to follow and ALL will be opened per the 8/24 rule. *** DEBRIS (debris/2026-08-25_1..5.jpg) -- ALL FIVE OPENED per the 8/24 rule, and the load is MODERATE -- meaningful, but not heavy. *** Interior overview shows a dense STRIP of pill bugs running the length of the tray; close-ups show a packed cluster -- plus several elongated segmented larvae or pupae and fine particulate on the panels. Had only the exterior panel shot (_5) been opened, this would again have been miscalled 'fine particulate only' -- the rule earned its keep on its first day. *** IMPORTANT PRACTICAL FINDING: 'THE POOL LOOKS SPOTLESS' DOES NOT MEAN LOW LOAD. *** John described the pool as being in 'a very clean state' before vacuuming and the photos support that -- yet the vacuum lifted a substantial cluster of pill bugs off the floor. They are small, grey-brown and settle into the speckled liner pattern, so a visual check from the deck cannot detect them. Visual cleanliness and organic load are close to independent here. *** AND ANOTHER STRIKE AGAINST LOAD PREDICTING LOSS: today pairs a MODERATE pill-bug load with a LOW corrected loss of 1.41 ppm/24h. *** The organisms were present through the measured window and removed at its end, so they were in the water the whole time. Possible reconciliation is residence time -- if they arrived overnight they had little time to decompose -- but taken at face value this is heavy-load/low-loss, the direct inverse of what a load-&gt;loss relationship predicts, and consistent with the 8/12 finding that nothing observable forecasts demand. *** COUNT CORRECTED BY JOHN: FEWER THAN 100 pill bugs, not 'hundreds'. *** Claude estimated from close-up macro shots, which badly exaggerate density -- a tight cluster fills the frame and reads as a mass. John counted in person and his figure stands. Same error class as the panel-shot mistake: inferring the whole from a fragment. *** RULE EXTENSION: for QUANTITY, defer to John's in-person estimate over any photo-based one; photos are reliable for WHAT is in the canister, not HOW MUCH. *** John's own point on why it matters: 'there are a bunch.. it's why i still vacuum each day' -- under 100 is not alarming, but it is a real recurring daily input, and daily vacuuming is what keeps it from accumulating into the kind of decomposing load that drove the 8/05 (4.90) and 7/28 (4.41) spikes.</t>
        </is>
      </c>
      <c r="W128" s="12249" t="inlineStr">
        <is>
          <t>pillbugs+carcass; moderate (&lt;100), plus larvae; dead mouse pulled floating that morning (carcass tag added 2026-09-17 -- it was in the notes but missing from Load)</t>
        </is>
      </c>
    </row>
    <row r="129">
      <c r="A129" s="12250" t="inlineStr">
        <is>
          <t>2026-08-25</t>
        </is>
      </c>
      <c r="B129" s="12251" t="inlineStr">
        <is>
          <t>18:40</t>
        </is>
      </c>
      <c r="C129" s="12251" t="inlineStr">
        <is>
          <t>DOSE</t>
        </is>
      </c>
      <c r="D129" s="12252" t="n"/>
      <c r="E129" s="12252" t="n"/>
      <c r="F129" s="12252" t="n"/>
      <c r="G129" s="12252" t="n"/>
      <c r="H129" s="12252" t="n">
        <v>13.1</v>
      </c>
      <c r="I129" s="12253" t="n"/>
      <c r="J129" s="12254" t="n"/>
      <c r="K129" s="12254" t="n"/>
      <c r="L129" s="12254" t="n"/>
      <c r="M129" s="12252" t="n">
        <v>1</v>
      </c>
      <c r="N129" s="12252" t="n">
        <v>49.5</v>
      </c>
      <c r="O129" s="12252" t="n"/>
      <c r="P129" s="12255" t="n"/>
      <c r="Q129" s="12252" t="n"/>
      <c r="R129" s="12252" t="n"/>
      <c r="S129" s="12252" t="n"/>
      <c r="T129" s="631" t="n"/>
      <c r="U129" s="12251" t="n"/>
      <c r="V129" s="631" t="inlineStr">
        <is>
          <t>6:40 PM, 1.0 gal poured -- normal evening window (pool shaded after ~6:30, pump to 10 PM). FC 12.8 -&gt; ~16.6. Season total 49.5 gal, closing on 50. *** TWO PROJECTIONS, and the gap matters: *** dose.py's flat l24 3.5 gives ~13.1 next noon (logged as pred_fc per convention), but the last five measured losses were 0.52 / 1.15 / 1.99 / 3.64 / 1.41, averaging ~1.7, which gives ~14.9. Claude told John to expect ~15 with an honest range of 13-16, and that range brackets both. THIS DOSE FOLLOWS A SKIPPED ONE: John did not dose on 8/24 (recommended but not poured -- he confirmed today he had overlooked it), so FC coasted 14.2 -&gt; 12.8 over two days on the 8/23 gallon alone. His new standing rule now covers this: he always reports a dose, so silence means it did not happen, and Claude should flag a missing report rather than assume. Sizing was revised DOWN from 1.5 to 1.0 gal once the phantom-dose error was corrected -- 1.5 was justified only by the erroneous 5.34 loss figure; at the real ~1.4 rate, 1.0 gal holds station and lands comfortably mid-band. Even the pessimistic 3.5 model leaves ~13.1, well above floor 10.</t>
        </is>
      </c>
      <c r="W129" s="12256" t="n"/>
    </row>
    <row r="130">
      <c r="A130" s="12292" t="inlineStr">
        <is>
          <t>2026-08-26</t>
        </is>
      </c>
      <c r="B130" s="12293" t="inlineStr">
        <is>
          <t>12:40</t>
        </is>
      </c>
      <c r="C130" s="12293" t="inlineStr">
        <is>
          <t>TEST</t>
        </is>
      </c>
      <c r="D130" s="12294" t="n"/>
      <c r="E130" s="12294" t="n">
        <v>16</v>
      </c>
      <c r="F130" s="12294" t="n">
        <v>0.2</v>
      </c>
      <c r="G130" s="12294" t="n">
        <v>0.7</v>
      </c>
      <c r="H130" s="12294" t="n"/>
      <c r="I130" s="12295" t="n">
        <v>2.9</v>
      </c>
      <c r="J130" s="12296" t="n"/>
      <c r="K130" s="12296" t="n"/>
      <c r="L130" s="12296" t="n"/>
      <c r="M130" s="12294" t="n"/>
      <c r="N130" s="12294" t="n"/>
      <c r="O130" s="12294" t="n">
        <v>13</v>
      </c>
      <c r="P130" s="12297" t="n">
        <v>0</v>
      </c>
      <c r="Q130" s="12294" t="n"/>
      <c r="R130" s="12294" t="n">
        <v>76</v>
      </c>
      <c r="S130" s="12294" t="n">
        <v>16.7</v>
      </c>
      <c r="T130" s="1199" t="inlineStr">
        <is>
          <t>Clear and pleasant. 76F, 66% RH, sun 6.7h of 7h so far (96%), high 76F, 0.00in precip, UV 6.3.</t>
        </is>
      </c>
      <c r="U130" s="12293" t="inlineStr">
        <is>
          <t>2026-08-26_1.jpg;2026-08-26_2.jpg;2026-08-26_3.jpg;2026-08-26_4.jpg;2026-08-26_5.jpg</t>
        </is>
      </c>
      <c r="V130" s="1199" t="inlineStr">
        <is>
          <t>12:40 PM. FC 16.0 (80 drops), CC 0.2, temp 76F, level 16.7. DOSE ROW VERIFIED before computing (per the 8/25 rule): 1.0 gal logged 8/25 18:40. Mass balance: 12.8 @ 31,692 + 1.0 gal - 16.0 @ 31,575 (level -0.6cm = -118 gal evaporation, no rain) =&gt; 0.81 over 24.25h = *** 0.80 ppm/24h -- one of the lowest of the clean series. *** PREDICTION SCORECARD: Claude told John to expect ~15 with a range of 13-16; actual 16.0 landed at the TOP EDGE, just inside. dose.py's flat model said 13.1, err +2.9. So the recent-data estimate was much closer but STILL UNDER -- demand came in below even the recent average. Worth noting the range was honest and held, which is the appropriate level of precision for this pool rather than a point forecast. *** ALL EIGHT PHOTOS OPENED per the 8/24 rule. *** Canister (debris/2026-08-26_1..3.jpg): interior overview shows a MODERATE strip of pill bugs along one side -- somewhat LIGHTER than 8/25 -- with a close-up showing the pill-bug pile plus a distinctly banded copper millipede (or wireworm) and leaf fragments; the exterior panel shot shows only fine particulate and, taken alone, would AGAIN have produced a false 'fine particulate only' call. The rule keeps earning its keep. Pool shots show it clear before and spotless after the run. *** INCIDENTAL BUT WORTH RECORDING: photos/2026-08-26_3.jpg is a close-up of the SHALLOW-END STEPS -- liner looks clean with NO visible metal staining. *** That is the open item carried since June (suspected iron/manganese from well water, ascorbic-acid spot test deferred to fall closing); still no visible progression, consistent with the 6/27-6/29 close-ups. LOAD vs LOSS AGAIN: moderate pill-bug load with a LOW 0.80 loss, following yesterday's moderate load with 1.41. Two consecutive moderate-load/low-loss days, which continues to argue against any usable load-&gt;loss relationship. NO DOSE: FC 16.0 is above aim 15 and inside safe-swim ~19; at the recent ~0.8-1.4 rate it lands ~14.6-15.2 tomorrow, right at aim.</t>
        </is>
      </c>
      <c r="W130" s="12298" t="inlineStr">
        <is>
          <t>pillbugs; moderate, plus millipede and leaves</t>
        </is>
      </c>
    </row>
    <row r="131">
      <c r="A131" s="12243" t="inlineStr">
        <is>
          <t>2026-08-27</t>
        </is>
      </c>
      <c r="B131" s="12244" t="inlineStr">
        <is>
          <t>12:25</t>
        </is>
      </c>
      <c r="C131" s="12244" t="inlineStr">
        <is>
          <t>TEST</t>
        </is>
      </c>
      <c r="D131" s="12245" t="n"/>
      <c r="E131" s="12245" t="n">
        <v>14.2</v>
      </c>
      <c r="F131" s="12245" t="n">
        <v>0.1</v>
      </c>
      <c r="G131" s="12245" t="n">
        <v>1.9</v>
      </c>
      <c r="H131" s="12245" t="n"/>
      <c r="I131" s="12246" t="n"/>
      <c r="J131" s="12247" t="n"/>
      <c r="K131" s="12247" t="n"/>
      <c r="L131" s="12247" t="n"/>
      <c r="M131" s="12245" t="n"/>
      <c r="N131" s="12245" t="n"/>
      <c r="O131" s="12245" t="n">
        <v>13</v>
      </c>
      <c r="P131" s="12248" t="n">
        <v>0</v>
      </c>
      <c r="Q131" s="12245" t="n"/>
      <c r="R131" s="12245" t="n">
        <v>76</v>
      </c>
      <c r="S131" s="12245" t="n">
        <v>15.7</v>
      </c>
      <c r="T131" s="624" t="inlineStr">
        <is>
          <t>Overcast at test time. 81F, 69% RH, sun 4.6h of 6h (77%), high 81F, 0.01in precip, UV 6.3. Water temp 76F.</t>
        </is>
      </c>
      <c r="U131" s="12244" t="inlineStr">
        <is>
          <t>2026-08-27_1.jpg;2026-08-27_2.jpg;2026-08-27_3.jpg;2026-08-27_4.jpg;2026-08-27_5.jpg</t>
        </is>
      </c>
      <c r="V131" s="624" t="inlineStr">
        <is>
          <t>12:25 PM. FC 14.2 (71 drops), CC 0.1, temp 76F, level 15.7. DOSE ROW VERIFIED first (8/25 rule): last dose 8/25 18:40, so this interval is correctly UNDOSED -- FC has now coasted two days on that gallon. Mass balance: 16.0 @ 31,575 -&gt; 14.2 @ 31,378 (level 16.7-&gt;15.7 = -196 gal evaporation, no rain) =&gt; 1.89 over 23.75h = 1.91 ppm/24h. PREDICTION: Claude said 14.6-15.2; actual 14.2 came in JUST UNDER the range. Second miss in two days on the same side (yesterday 16.0 was just OVER), which is the expected behaviour of an honest range rather than a point estimate -- the band is roughly the right width but the centre is not informative. *** ALL TEN PHOTOS OPENED per the 8/24 rule. *** Canister (debris/2026-08-27_1..5.jpg): interior overview shows a strip of pill bugs along one side; three close-ups show pill bugs dominant plus an EARWIG, a small orange centipede or larva, a millipede, and plant fragments; the exterior panel shows only fine particulate and again would alone have produced a false 'fine particulate only' call. QUANTITY: John reports LIGHT sediment, and per the 8/25 rule his in-person estimate takes precedence over any photo-based count -- logged light-to-moderate. Pool shots show it clear before with the vacuum working and SPOTLESS after; the shallow-steps close-up (2026-08-27_3.jpg) again shows clean liner with NO metal staining, consistent with 8/26 and the June baseline. Removed another LIVE FROG -- roughly the tenth preventive amphibian removal this season, a habit that has plausibly avoided several of the carcass-driven spikes (7/28 mouse 4.41, 8/05 die-off 4.90). NO DOSE STRICTLY REQUIRED but one is due soon: FC 14.2 is just below aim 15, and at the current ~1.9 rate it lands ~12.3 tomorrow (fine) and ~10.4 the day after (at floor). RECOMMEND 1.0 gal this evening -&gt; ~18.0, landing ~16.1 tomorrow; deferring a day is also defensible.</t>
        </is>
      </c>
      <c r="W131" s="12249" t="inlineStr">
        <is>
          <t>pillbugs; light-to-moderate, plus earwig and larvae</t>
        </is>
      </c>
    </row>
    <row r="132">
      <c r="A132" s="12250" t="inlineStr">
        <is>
          <t>2026-08-27</t>
        </is>
      </c>
      <c r="B132" s="12251" t="inlineStr">
        <is>
          <t>18:55</t>
        </is>
      </c>
      <c r="C132" s="12251" t="inlineStr">
        <is>
          <t>DOSE</t>
        </is>
      </c>
      <c r="D132" s="12252" t="n"/>
      <c r="E132" s="12252" t="n"/>
      <c r="F132" s="12252" t="n"/>
      <c r="G132" s="12252" t="n"/>
      <c r="H132" s="12252" t="n">
        <v>14.7</v>
      </c>
      <c r="I132" s="12253" t="n"/>
      <c r="J132" s="12254" t="n"/>
      <c r="K132" s="12254" t="n"/>
      <c r="L132" s="12254" t="n"/>
      <c r="M132" s="12252" t="n">
        <v>1</v>
      </c>
      <c r="N132" s="12252" t="n">
        <v>50.5</v>
      </c>
      <c r="O132" s="12252" t="n"/>
      <c r="P132" s="12255" t="n"/>
      <c r="Q132" s="12252" t="n"/>
      <c r="R132" s="12252" t="n"/>
      <c r="S132" s="12252" t="n"/>
      <c r="T132" s="631" t="n"/>
      <c r="U132" s="12251" t="n"/>
      <c r="V132" s="631" t="inlineStr">
        <is>
          <t>6:55 PM, 1.0 gal poured -- normal evening window (pool shaded after ~6:30, pump to 10 PM). FC 14.2 -&gt; ~18.0. *** SEASON TOTAL CROSSES 50 GALLONS (50.5). *** Two projections: dose.py's flat l24 3.5 gives 14.7 (logged as pred_fc per convention); the last five measured losses were 0.80 / 1.41 / 1.91 / 1.99 / 3.64, averaging ~1.95, which gives ~16.1. Honest range for tomorrow: 14.5-17.0. Dose was DUE rather than urgent -- FC had coasted two days on the 8/25 gallon and was just below aim, and at ~1.9 ppm/day it would have reached floor the day after tomorrow. PACE NOTE: this is the 4th dose in 10 days (8/19, 8/23, 8/25, 8/27), versus 4 in 6 days during the mid-August high-demand stretch -- the interval has stretched from roughly every 1.5 days to every 2.5, consistent with the lower losses of the past week and with the seasonal cooling (water temp 84F on 8/09 down to 76F now). If that trend holds into September, expect doses every 3-4 days. WATCHING: whether demand keeps easing as water temperature falls. Water temp was tested against loss earlier (r ~0.00-0.11, no relationship), so this is NOT a prediction -- but a genuine seasonal decline in biological activity and organic input would show up as a real drop in baseline demand, and that is worth distinguishing from the day-to-day noise if it appears over several weeks.</t>
        </is>
      </c>
      <c r="W132" s="12256" t="n"/>
    </row>
    <row r="133">
      <c r="A133" s="12292" t="inlineStr">
        <is>
          <t>2026-08-28</t>
        </is>
      </c>
      <c r="B133" s="12293" t="inlineStr">
        <is>
          <t>13:15</t>
        </is>
      </c>
      <c r="C133" s="12293" t="inlineStr">
        <is>
          <t>TEST</t>
        </is>
      </c>
      <c r="D133" s="12294" t="n"/>
      <c r="E133" s="12294" t="n">
        <v>17.6</v>
      </c>
      <c r="F133" s="12294" t="n">
        <v>0.1</v>
      </c>
      <c r="G133" s="12294" t="n">
        <v>0.5</v>
      </c>
      <c r="H133" s="12294" t="n"/>
      <c r="I133" s="12295" t="n">
        <v>2.9</v>
      </c>
      <c r="J133" s="12296" t="n"/>
      <c r="K133" s="12296" t="n"/>
      <c r="L133" s="12296" t="n"/>
      <c r="M133" s="12294" t="n"/>
      <c r="N133" s="12294" t="n"/>
      <c r="O133" s="12294" t="n">
        <v>13</v>
      </c>
      <c r="P133" s="12297" t="n">
        <v>0</v>
      </c>
      <c r="Q133" s="12294" t="n"/>
      <c r="R133" s="12294" t="n">
        <v>77</v>
      </c>
      <c r="S133" s="12294" t="n">
        <v>15.3</v>
      </c>
      <c r="T133" s="1199" t="inlineStr">
        <is>
          <t>Turned much warmer and humid (John). Overcast at test time, 81F, 74% RH, sun 3.6h of 7h (52%), high 82F, 0.00in precip, UV 6.8. Water temp 77F.</t>
        </is>
      </c>
      <c r="U133" s="12293" t="inlineStr">
        <is>
          <t>2026-08-28_1.jpg;2026-08-28_2.jpg;2026-08-28_3.jpg;2026-08-28_4.jpg</t>
        </is>
      </c>
      <c r="V133" s="1199" t="inlineStr">
        <is>
          <t>1:15 PM. FC 17.6 (88 drops), CC 0.1, temp 77F, level 15.3. Dose row verified first (8/25 rule): 1.0 gal logged 8/27 18:55. Mass balance: 14.2 @ 31,378 + 1.0 gal - 17.6 @ 31,300 (level -0.4cm = -79 gal evaporation, no rain) =&gt; *** 0.48 ppm/24h, the second-lowest of the clean series. *** [CORRECTED 8/29: this cell originally read 0.61, an arithmetic slip -- the dose mass was applied at ~4.0 ppm/gal instead of 3.84. The mass balance is 445,573 + 120,400 - 550,878 = 15,095 ppm-gal over 31,339 gal = 0.48.] PREDICTION MISSED: dose.py said 14.7 (err +2.9) and Claude gave an honest range of 14.5-17.0 -- actual 17.6 was ABOVE the range. Demand came in below even the recent minimum (0.80 on 8/26). Recording the miss plainly: the range was too low AND too narrow, and this is the first time a stated range has failed outright rather than landing at an edge. Last 8 clean losses: 1.99 / 0.52 / 1.15 / 3.64 / 1.41 / 0.80 / 1.91 / 0.61, mean 1.50 -- so a range built on the recent mean keeps under-shooting because the DISTRIBUTION IS RIGHT-SKEWED: most days cluster at 0.5-2.0 with occasional 3-5 spikes pulling the mean up, which means the mean over-states the TYPICAL day. A median-based centre (~1.3) with an asymmetric range would be more honest than mean +/- symmetric. *** ALL NINE PHOTOS OPENED per the 8/24 rule. *** Canister (debris/2026-08-28_1..5.jpg): interior overview shows a pill-bug strip; three close-ups show pill bugs dominant plus a WASP OR BEE (first seen in the series), a millipede, small beetles, an earwig and a red mite; the exterior panel again shows only fine particulate. John reports LIGHT-TO-MODERATE sediment, consistent with what we have been seeing, and per the 8/25 rule his in-person quantity call takes precedence. Pool shots clear before and after; the shallow-steps close-up (2026-08-28_3.jpg) again shows clean liner with NO metal staining -- third consecutive day, consistent with the June baseline. NO DOSE: FC 17.6 is well above aim 15 and just under safe-swim ~19; at the recent median ~1.3 it lands ~16.3 tomorrow. John notes it turned much warmer and humid, which he expects may affect the water level -- worth watching, though humidity was tested three separate ways against LOSS and rejected each time, so this is a level/evaporation observation only, not a demand prediction.</t>
        </is>
      </c>
      <c r="W133" s="12298" t="inlineStr">
        <is>
          <t>pillbugs; light-to-moderate, plus wasp/bee, millipede, beetles, earwig</t>
        </is>
      </c>
    </row>
    <row r="134">
      <c r="A134" s="12285" t="inlineStr">
        <is>
          <t>2026-08-29</t>
        </is>
      </c>
      <c r="B134" s="12286" t="inlineStr">
        <is>
          <t>13:30</t>
        </is>
      </c>
      <c r="C134" s="12286" t="inlineStr">
        <is>
          <t>TEST</t>
        </is>
      </c>
      <c r="D134" s="12287" t="n"/>
      <c r="E134" s="12287" t="n">
        <v>16</v>
      </c>
      <c r="F134" s="12287" t="n">
        <v>0.2</v>
      </c>
      <c r="G134" s="12287" t="n">
        <v>1.7</v>
      </c>
      <c r="H134" s="12287" t="n"/>
      <c r="I134" s="12288" t="n"/>
      <c r="J134" s="12289" t="n"/>
      <c r="K134" s="12289" t="n"/>
      <c r="L134" s="12289" t="n"/>
      <c r="M134" s="12287" t="n"/>
      <c r="N134" s="12287" t="n"/>
      <c r="O134" s="12287" t="n">
        <v>12.7</v>
      </c>
      <c r="P134" s="12290" t="n">
        <v>0</v>
      </c>
      <c r="Q134" s="12287" t="n"/>
      <c r="R134" s="12287" t="n">
        <v>77</v>
      </c>
      <c r="S134" s="12287" t="n">
        <v>14.3</v>
      </c>
      <c r="T134" s="1047" t="inlineStr">
        <is>
          <t>Clear and sunny, 77F, 32% RH -- much less humid than yesterday (John). Sun 6.7h of 7h daylight so far (96%), 12.7h full-day est., 0.00in precip, UV max 6.8. Water temp 77F.</t>
        </is>
      </c>
      <c r="U134" s="12286" t="inlineStr">
        <is>
          <t>2026-08-29_1.jpg;2026-08-29_2.jpg;2026-08-29_3.jpg;2026-08-29_4.jpg;2026-08-29_5.jpg</t>
        </is>
      </c>
      <c r="V134" s="1047" t="inlineStr">
        <is>
          <t>1:30 PM. FC 16.0 (80 drops), CC 0.2, temp 77F, level 14.3. Dose row verified first (8/25 rule): last dose 8/27 18:55, nothing since, so this interval is correctly UNDOSED. Mass balance: 17.6 @ 31,300 -&gt; 16.0 @ 31,104 (level 15.3-&gt;14.3 = -1.0 cm, ~-196 gal, sunny/dry evaporation, no rain) =&gt; 1.71 ppm/24h. *** FIRST TEST OF THE MEDIAN-CENTRED FORECAST: yesterday's note said that at the recent median ~1.3 FC would land ~16.3 today. Actual 16.0 -- off by 0.3, comfortably the best forward call of the series, versus dose.py's L24=3.5 model which would have said 14.1 (err -1.9). *** ALL TEN PHOTOS OPENED per the 8/24 rule. *** Canister (debris/2026-08-29_1..5.jpg): interior overview and three macro shots show pill bugs dominant and numerous, plus a large EARTHWORM running through the tray, a millipede, leaf and green plant fragments, a pale mayfly-type insect and assorted small winged insects; the exterior panel (debris/2026-08-29_5.jpg) shows fine particulate and organic film only and would again alone have produced a false 'fine particulate only' call. QUANTITY: John reports MODERATE contents and per the 8/25 rule his in-person call takes precedence over any photo-based count. Pool shots clear before and after; underwater liner close-up (2026-08-29_2.jpg) shows clean liner with NO metal staining -- fourth consecutive day, consistent with the June baseline. *** DATA FIX: the FC-loss column had been filled inconsistently all season -- sometimes the naive FC difference, sometimes the mass balance, five rows blank -- 31 of 50 rows disagreed. Backfilled every row to one definition: the 1-day mass balance on measured volumes, exactly what analyze_loss.py computes (no time normalisation; test times vary &lt;1h and the 1-3% that buys is far below the +/-1.2 ppm noise floor). Yesterday's 0.6 was an arithmetic slip and is now 0.5. Analysis was never affected -- analyze_loss.py always recomputed from raw FC/level/dose -- but the log and the site now agree with it. Backup: Pool_Log.backup-2026-08-29-preloss-backfill.xlsx. *** NO DOSE: FC 16.0 is above aim 15; on the last-20 loss distribution it lands ~14.2 tomorrow (asymmetric range 12.3-15.3), still at aim and far above floor 10.</t>
        </is>
      </c>
      <c r="W134" s="12291" t="inlineStr">
        <is>
          <t>earthworms+pillbugs; moderate, plus millipede, leaf litter and small winged insects</t>
        </is>
      </c>
    </row>
    <row r="135">
      <c r="A135" s="12257" t="inlineStr">
        <is>
          <t>2026-08-30</t>
        </is>
      </c>
      <c r="B135" s="12258" t="inlineStr">
        <is>
          <t>13:20</t>
        </is>
      </c>
      <c r="C135" s="12258" t="inlineStr">
        <is>
          <t>TEST</t>
        </is>
      </c>
      <c r="D135" s="12259" t="n"/>
      <c r="E135" s="12259" t="n">
        <v>13.8</v>
      </c>
      <c r="F135" s="12259" t="n">
        <v>0.2</v>
      </c>
      <c r="G135" s="12259" t="n">
        <v>2.3</v>
      </c>
      <c r="H135" s="12259" t="n"/>
      <c r="I135" s="12260" t="n"/>
      <c r="J135" s="12261" t="n"/>
      <c r="K135" s="12261" t="n"/>
      <c r="L135" s="12261" t="n"/>
      <c r="M135" s="12259" t="n"/>
      <c r="N135" s="12259" t="n"/>
      <c r="O135" s="12259" t="n">
        <v>9.4</v>
      </c>
      <c r="P135" s="12262" t="n">
        <v>0</v>
      </c>
      <c r="Q135" s="12259" t="n"/>
      <c r="R135" s="12259" t="n">
        <v>77</v>
      </c>
      <c r="S135" s="12259" t="n">
        <v>13.5</v>
      </c>
      <c r="T135" s="813" t="inlineStr">
        <is>
          <t>Clear and sunny, little humidity (John). 81F, 47% RH at test time; sun 7.6h of 8h daylight so far (95%), 9.4h full-day est., high 82F, 0.00in precip, UV max 6.4. Water temp 77F.</t>
        </is>
      </c>
      <c r="U135" s="12258" t="inlineStr">
        <is>
          <t>2026-08-30_1.jpg;2026-08-30_2.jpg;2026-08-30_3.jpg;2026-08-30_4.jpg</t>
        </is>
      </c>
      <c r="V135" s="813" t="inlineStr">
        <is>
          <t>1:20 PM. FC 13.8 (69 drops), CC 0.2, temp 77F, level 13.5. Dose row verified first (8/25 rule): last dose 8/27 18:55, nothing since, so FC has now COASTED THREE FULL DAYS on that single gallon: 17.6 -&gt; 16.0 -&gt; 13.8. Mass balance: 16.0 @ 31,104 -&gt; 13.8 @ 30,947 (level 14.3-&gt;13.5 = -0.8 cm, ~-157 gal, sunny/dry evaporation, no rain) =&gt; 2.28 ppm/24h, close to the season mean 2.24. *** FIRST FORWARD TEST OF THE RE-FITTED L24 = 2.24 (changed yesterday, John's call): it projected 16.0 - 2.24 = 13.76 and the actual is 13.8, error 0.04. The OLD constant 3.5 would have said 12.5, error -1.3. One day is not validation and 0.04 is finer than the +/-1.2 noise floor allows -- that precision is luck. What is NOT luck is the sign: the re-fit removed a bias that had been pushing every projection low. The median-centred range (14.2, band 12.3-15.3) also held -- actual 13.8, second consecutive hit. *** ALL TEN PHOTOS OPENED per the 8/24 rule. *** Canister (debris/2026-08-30_1..6.jpg): visibly LIGHTER than 8/29 -- the tray is mostly clear with material concentrated along one side. Contents: pill bugs still dominant but far fewer, a YELLOWJACKET (clearly marked black/yellow, and the second wasp in three days after 8/28's wasp/bee), a centipede or large reddish larva, and a rising share of LEAF FRAGMENTS in brown and yellow -- the first clear sign of early autumn leaf drop, worth watching as a load driver into September. The exterior panel (debris/2026-08-30_6.jpg) shows fine particulate only and is itself noticeably cleaner than yesterday's. John reports LIGHT sediment overall, consistent with the photos, and per the 8/25 rule his in-person quantity call governs. Pool shots clear before and after; underwater liner close-up (2026-08-30_2.jpg) shows clean liner with NO metal staining -- fifth consecutive day. *** RECOMMEND 1.0 gal this evening: FC 13.8 is below aim 15, and with no dose it lands ~11.6 tomorrow -- above floor 10, but a p90 loss day (3.67) would put it at 10.1, right on the floor. 1.0 gal -&gt; ~17.6 tonight, projecting ~15.8 at next noon (asymmetric range 14.0-16.8).</t>
        </is>
      </c>
      <c r="W135" s="12263" t="inlineStr">
        <is>
          <t>pillbugs+leaves; light, plus yellowjacket and a centipede</t>
        </is>
      </c>
    </row>
    <row r="136">
      <c r="A136" s="12271" t="inlineStr">
        <is>
          <t>2026-08-30</t>
        </is>
      </c>
      <c r="B136" s="12272" t="inlineStr">
        <is>
          <t>18:50</t>
        </is>
      </c>
      <c r="C136" s="12272" t="inlineStr">
        <is>
          <t>DOSE</t>
        </is>
      </c>
      <c r="D136" s="12273" t="n"/>
      <c r="E136" s="12273" t="n"/>
      <c r="F136" s="12273" t="n"/>
      <c r="G136" s="12273" t="n"/>
      <c r="H136" s="12273" t="n">
        <v>15.4</v>
      </c>
      <c r="I136" s="12274" t="n"/>
      <c r="J136" s="12275" t="n"/>
      <c r="K136" s="12275" t="n"/>
      <c r="L136" s="12275" t="n"/>
      <c r="M136" s="12273" t="n">
        <v>1</v>
      </c>
      <c r="N136" s="12273" t="n">
        <v>51.5</v>
      </c>
      <c r="O136" s="12273" t="n"/>
      <c r="P136" s="12276" t="n"/>
      <c r="Q136" s="12273" t="n"/>
      <c r="R136" s="12273" t="n"/>
      <c r="S136" s="12273" t="n"/>
      <c r="T136" s="827" t="n"/>
      <c r="U136" s="12272" t="n"/>
      <c r="V136" s="827" t="inlineStr">
        <is>
          <t>6:50 PM, 1.0 gal poured as recommended -- ends the longest undosed stretch of the season (3 full days on the 8/27 gallon, 17.6 -&gt; 16.0 -&gt; 13.8). Season total crosses 51.5 gal. FC after dose ~17.6; projected next noon 15.4 on the re-fitted L24 = 2.24. NOTE THE FORK, deliberately left open rather than resolved by preference: the mean-based model (l24 2.24, what dose.py and this column use) says 15.4, while the median-centred forecast quoted to John says 15.8 (last-20 median 1.80, asymmetric range 14.0-16.8). The 0.4 gap is well inside the +/-1.2 noise floor, so today cannot separate them. Both are on record here and will be scored over the coming weeks -- the data decides which centre to keep, not an argument. Rationale for the current split: dose.py uses the MEAN because it is the unbiased estimator and its right-skew conservatism suits the asymmetric risk (running below floor is worse than running high at CYA 148); the median is quoted conversationally because it better describes a TYPICAL day.</t>
        </is>
      </c>
      <c r="W136" s="12277" t="n"/>
    </row>
    <row r="137">
      <c r="A137" s="12285" t="inlineStr">
        <is>
          <t>2026-08-31</t>
        </is>
      </c>
      <c r="B137" s="12286" t="inlineStr">
        <is>
          <t>12:30</t>
        </is>
      </c>
      <c r="C137" s="12286" t="inlineStr">
        <is>
          <t>TEST</t>
        </is>
      </c>
      <c r="D137" s="12287" t="n"/>
      <c r="E137" s="12287" t="n">
        <v>17.2</v>
      </c>
      <c r="F137" s="12287" t="n">
        <v>0.1</v>
      </c>
      <c r="G137" s="12287" t="n">
        <v>0.5</v>
      </c>
      <c r="H137" s="12287" t="n"/>
      <c r="I137" s="12288" t="n">
        <v>1.8</v>
      </c>
      <c r="J137" s="12289" t="n"/>
      <c r="K137" s="12289" t="n"/>
      <c r="L137" s="12289" t="n"/>
      <c r="M137" s="12287" t="n"/>
      <c r="N137" s="12287" t="n"/>
      <c r="O137" s="12287" t="n">
        <v>10.5</v>
      </c>
      <c r="P137" s="12290" t="n">
        <v>0.02</v>
      </c>
      <c r="Q137" s="12287" t="n"/>
      <c r="R137" s="12287" t="n">
        <v>77</v>
      </c>
      <c r="S137" s="12287" t="n">
        <v>13.5</v>
      </c>
      <c r="T137" s="1047" t="inlineStr">
        <is>
          <t>Sunny with increasing cloud through the afternoon, fairly dry; rain overnight (John). 76F, 61% RH at test time; sun 5.0h of 6h daylight so far (83%), 10.5h full-day est., high 78F, 0.02in precip logged today, UV max 6.5. Water temp 77F.</t>
        </is>
      </c>
      <c r="U137" s="12286" t="inlineStr">
        <is>
          <t>2026-08-31_1.jpg;2026-08-31_2.jpg;2026-08-31_3.jpg;2026-08-31_4.jpg;2026-08-31_5.jpg</t>
        </is>
      </c>
      <c r="V137" s="1047" t="inlineStr">
        <is>
          <t>12:30 PM (time confirmed by John after the row was first written; it had been logged as a flagged 13:00 assumption and is now the reported value). FC 17.2 (86 drops), CC 0.1 (down from 0.2), temp 77F, level 13.5. Dose row verified first (8/25 rule): 1.0 gal logged 8/30 18:50. Mass balance: 13.8 @ 30,947 + 1.0 gal - 17.2 @ 30,947 =&gt; 0.49 ppm/24h, among the lowest of the clean series. *** PREDICTION MISSED HIGH. dose.py said 15.4 (err +1.8); the median-centred call quoted to John was 15.8 (err +1.4) with a band of 14.0-16.8 -- actual 17.2 was ABOVE the band, so the RANGE FAILED. Recording it plainly: this is the second outright range failure (after 8/28) and both were on the same side, FC higher than predicted because demand came in below expectation. Note the band is p20-p90 BY CONSTRUCTION, so ~20% of days should land above it; today's loss 0.49 sits below the p20 of 0.86, i.e. a genuine low-tail day rather than a broken model. Running count of stated ranges: 8/29 hit, 8/30 hit, 8/31 miss = 2/3 against an expected 70% coverage. n=3 proves nothing either way -- do NOT retune on it. The mean-vs-median fork logged on 8/30 stays open: today the median was closer (+1.4 vs +1.8), one data point, both still wrong in the same direction. *** LEVEL HELD EXACTLY FLAT at 13.5 despite reported overnight rain. That is consistent, not contradictory: rain roughly cancelled a day's evaporation (yesterday's drop was 0.8 cm). The ruler shows NO net gain, so the rain was modest -- well under the ~0.9 cm that would have registered as a rise. Per the 7/19 finding the ruler is ground truth over the precip feed, which logged only 0.02in. *** ALL TEN PHOTOS OPENED per the 8/24 rule, and two objects were ZOOMED rather than guessed: (a) the dark shape mid-pool in 2026-08-31_1.jpg is the ROBOTIC VACUUM working, not an animal -- rectangular housing and its shadow are unambiguous at 3x; (b) the glossy reddish-brown object in the canister is an ACORN -- John confirmed it in person same day. Claude called it 'most consistent with a snail shell, possibly a small nut': the hedge was right to be there but the lean was wrong, and 'nut' was the correct branch. Generalises the 8/25 quantity rule: John's in-person handling beats a photo on IDENTIFICATION too, not just count. An acorn also matters more than a snail would -- it is a second autumn signal alongside the rising leaf fragments, so oak drop joins leaf drop on the September watch list. Canister (debris/2026-08-31_1..5.jpg): very light -- the tray is nearly bare with one small cluster. Contents: a few pill bugs, that snail/nut, a pale tan seed, small beetles, and leaf and green plant fragments. Exterior panel shows fine particulate only and is lighter again than 8/30. John reports LIGHT sediment, consistent, and per the 8/25 rule his in-person quantity call governs. Pool clear before and after; steps/liner close-up (2026-08-31_4.jpg) shows clean liner with NO metal staining -- SIXTH consecutive day. *** NO DOSE: FC 17.2 is above aim 15 and below safe-swim ~19; it lands ~15.0-15.4 tomorrow with no action.</t>
        </is>
      </c>
      <c r="W137" s="12291" t="inlineStr">
        <is>
          <t>pillbugs+leaves+seeds; light, plus an acorn and small beetles</t>
        </is>
      </c>
    </row>
    <row r="138">
      <c r="A138" s="12292" t="inlineStr">
        <is>
          <t>2026-09-01</t>
        </is>
      </c>
      <c r="B138" s="12293" t="inlineStr">
        <is>
          <t>12:35</t>
        </is>
      </c>
      <c r="C138" s="12293" t="inlineStr">
        <is>
          <t>TEST</t>
        </is>
      </c>
      <c r="D138" s="12294" t="n"/>
      <c r="E138" s="12294" t="n">
        <v>15.8</v>
      </c>
      <c r="F138" s="12294" t="n">
        <v>0.4</v>
      </c>
      <c r="G138" s="12294" t="n">
        <v>1.4</v>
      </c>
      <c r="H138" s="12294" t="n"/>
      <c r="I138" s="12295" t="n"/>
      <c r="J138" s="12296" t="n"/>
      <c r="K138" s="12296" t="n"/>
      <c r="L138" s="12296" t="n"/>
      <c r="M138" s="12294" t="n"/>
      <c r="N138" s="12294" t="n"/>
      <c r="O138" s="12294" t="n">
        <v>0</v>
      </c>
      <c r="P138" s="12297" t="n">
        <v>0.244</v>
      </c>
      <c r="Q138" s="12294" t="n"/>
      <c r="R138" s="12294" t="n">
        <v>75</v>
      </c>
      <c r="S138" s="12294" t="n">
        <v>13.7</v>
      </c>
      <c r="T138" s="1199" t="inlineStr">
        <is>
          <t>Overcast and cloudy all day, rain on and off (John). 71F, 94% RH at test time; sun 0.0h of 6h daylight -- the first ZERO-SUN day logged; 0.244in precip, high 73F, UV max 6.0. Water temp 75F, down 2F from yesterday.</t>
        </is>
      </c>
      <c r="U138" s="12293" t="inlineStr">
        <is>
          <t>2026-09-01_1.jpg;2026-09-01_2.jpg;2026-09-01_3.jpg;2026-09-01_4.jpg</t>
        </is>
      </c>
      <c r="V138" s="1199" t="inlineStr">
        <is>
          <t>12:35 PM. FC 15.8 (79 drops), CC 0.4, temp 75F, level 13.7. Dose row verified first (8/25 rule): last dose 8/30 18:50, nothing since, so this interval is correctly UNDOSED. Mass balance: 17.2 @ 30,947 -&gt; 15.8 @ 30,986 (level 13.5-&gt;13.7 = +0.2 cm, +39 gal of rain) =&gt; 1.38 ppm/24h, close to the last-20 median. *** PREDICTION HIT. Claude quoted a centre of 15.0 (mean model) / 15.5 (median) with a band of 13.5-16.5; actual 15.8 landed INSIDE. Stated-range record now 3 of 4. The mean-vs-median fork opened 8/30 has run three days: median error +0.3 vs mean +0.8 today, and the median has been closer all three times (8/31 +1.4 vs +1.8, 9/01 +0.3 vs +0.8). THREE POINTS IS NOT A RESULT -- the gap between the two centres (0.4-0.5 ppm) is well under the +/-1.2 noise floor, so this is nowhere near enough to move dose.py. Keep scoring; revisit at n&gt;=20. *** CC 0.4 -- CHECKED BEFORE FLAGGING, and it is UNREMARKABLE. It reads like a jump (0.1 -&gt; 0.4) but 0.4 has occurred 23 times this season against a max of 0.8 and a mean of 0.25; the most recent was 8/21. Claude also TESTED the obvious story -- that rain washed in organics and drove chloramine formation -- and REJECTED it: CC vs same-day rain r = +0.11, and wet days (&gt;=0.10in, n=18) average CC 0.28 vs 0.23 on dry days (n=55), a difference below the test's own 0.2 ppm resolution. A reverse slice looks more dramatic (CC&gt;=0.4 days average 0.324in vs 0.142in) but that is the same weak data cut a flattering way, exactly the trap the 7/19 and 8/29 entries warn about. NO ACTION on CC; it is below the 0.5 threshold in any case. *** ALL EIGHT PHOTOS OPENED per the 8/24 rule. Canister (debris/2026-09-01_1..4.jpg): light, material concentrated along one edge. Contents: pill bugs, a reddish-brown centipede, TWO PALE CREAM LARVAE/GRUBS (new to the series), leaf fragments, seeds and grit. The mesh in debris/2026-09-01_3.jpg carries noticeably more GREEN plant film than recent days, consistent with a wet day washing fresh material in. Exterior panel shows fine particulate, comparable to 8/31. John reports LIGHT sediment; per the 8/25 rule his in-person call governs. Pool clear before and after with rain dimpling the surface in both; steps/liner close-up (2026-09-01_2.jpg) shows clean liner with NO metal staining -- SEVENTH consecutive day. *** WATER TEMP 75F, the first sub-77 reading of the stretch and 3F off the late-August plateau. Logged as an observation on the seasonal-cooling watch, NOT a demand prediction -- water temp was tested against loss and rejected (r ~ +0.17). *** NO DOSE: FC 15.8 is above aim 15; it lands ~13.6-14.1 tomorrow, comfortably in band and far above floor 10.</t>
        </is>
      </c>
      <c r="W138" s="12298" t="inlineStr">
        <is>
          <t>pillbugs+leaves+seeds; light, plus a centipede and two pale grubs</t>
        </is>
      </c>
    </row>
    <row r="139">
      <c r="A139" s="12243" t="inlineStr">
        <is>
          <t>2026-09-02</t>
        </is>
      </c>
      <c r="B139" s="12244" t="inlineStr">
        <is>
          <t>13:00</t>
        </is>
      </c>
      <c r="C139" s="12244" t="inlineStr">
        <is>
          <t>TEST</t>
        </is>
      </c>
      <c r="D139" s="12245" t="n"/>
      <c r="E139" s="12245" t="n">
        <v>12.8</v>
      </c>
      <c r="F139" s="12245" t="n">
        <v>0</v>
      </c>
      <c r="G139" s="12245" t="n">
        <v>3</v>
      </c>
      <c r="H139" s="12245" t="n"/>
      <c r="I139" s="12246" t="n"/>
      <c r="J139" s="12247" t="n"/>
      <c r="K139" s="12247" t="n"/>
      <c r="L139" s="12247" t="n"/>
      <c r="M139" s="12245" t="n"/>
      <c r="N139" s="12245" t="n"/>
      <c r="O139" s="12245" t="n">
        <v>6</v>
      </c>
      <c r="P139" s="12248" t="n">
        <v>0</v>
      </c>
      <c r="Q139" s="12245" t="n"/>
      <c r="R139" s="12245" t="n">
        <v>74</v>
      </c>
      <c r="S139" s="12245" t="n">
        <v>13.8</v>
      </c>
      <c r="T139" s="624" t="inlineStr">
        <is>
          <t>Cool and overcast, some rain (John). 72F, 55% RH at test time; sun 4.0h of 7h daylight so far, 6.0h full-day est., high 73F, UV max 6.5. FEED LOGGED 0.00in BUT JOHN REPORTS RAIN and the ruler gained +0.1 cm (+20 gal) NET of a day's evaporation -- so real rainfall was roughly 0.15-0.25 in and the feed missed it entirely. Ruler is ground truth (7/19, 8/03 rules). Water temp 74F.</t>
        </is>
      </c>
      <c r="U139" s="12244" t="inlineStr">
        <is>
          <t>2026-09-02_1.jpg;2026-09-02_2.jpg;2026-09-02_3.jpg;2026-09-02_4.jpg;2026-09-02_5.jpg</t>
        </is>
      </c>
      <c r="V139" s="624" t="inlineStr">
        <is>
          <t>1:00 PM. FC 12.8 (64 drops), CC 0.0, temp 74F, level 13.8. Dose row verified first (8/25 rule): last dose 8/30 18:50, nothing since -- FC has coasted THREE FULL DAYS again (17.2 -&gt; 15.8 -&gt; 12.8). Mass balance: 15.8 @ 30,986 -&gt; 12.8 @ 31,005 =&gt; 2.99 ppm/24h, the highest since 8/24 and well above the last-20 median 1.65. *** PART OF THAT IS CHLORAMINE DESTRUCTION, NOT NEW DEMAND. CC went 0.4 -&gt; 0.0. FC and CC are measured separately, so combined chlorine disappearing is a genuine FREE-chlorine sink: destroying ~0.4 ppm of chloramine consumes roughly 0.4-0.8 ppm FC (order-of-magnitude only -- breakpoint stoichiometry is not precise at this scale). Net that out and the remaining ~2.2-2.6 sits right on the season mean 2.24, i.e. an ORDINARY day wearing an elevated headline number. This is a mechanism, not a fitted pattern: the CC reading is direct evidence, unlike the load-class stories that have been rejected. *** PREDICTION HIT, and the median's streak BREAKS. Band was 12.1-15.1 (actual 12.8, inside, near the low edge); mean model 13.6 err -0.8, median 14.2 err -1.4 -- so the MEAN was closer today after the median won the previous three. Fork tally now median 3, mean 1. Exactly why this is being scored rather than acted on. Stated-range record 4 of 5. *** ALL NINE PHOTOS OPENED per the 8/24 rule. *** OAK DROP HAS STARTED IN EARNEST -- the notable change today. The canister holds WHOLE GREEN OAK LEAVES (pin/red oak, bristle-tipped lobes), not the fragments of the past week: debris/2026-09-02_1..3.jpg show two or three intact leaves plus a brown one, and they dominate the tray. With the 8/31 acorn that is two independent oak signals in three days, and these are GREEN leaves -- shed live, not autumn litter. Also present: pill bugs (fewer), a YELLOWJACKET (third wasp in five days after 8/28 and 8/30), a small millipede and a pale green caterpillar/larva on the mesh. John reports LOW sediment; per the 8/25 rule his in-person call governs, and note the tension -- low by volume, but the ITEMS are getting larger. *** DO NOT connect the leaves to today's loss. Load class was tested and FAILED as a predictor (8/12-13, and leaves+millipedes sits at 0.91 mean). Logging arrival as an observation only; the CC mechanism above is the part with actual evidence. *** FLOATING LEAVES in the before shot (2026-09-02_1.jpg) are GONE in the after shot (2026-09-02_5.jpg) -- and that is not luck. John SKIMS THE SURFACE EVERY DAY when he pulls the vacuum for photos; the AFTER shot is the record of it (John, 2026-09-02). Claude flagged surface leaves as an open gap 'worth watching as drop accelerates' after reading only the BEFORE photo -- the answer was in the same photo set. Same error family as 8/24: a conclusion drawn from a subset of the day's images. The 8/16 lesson still holds mechanically (a bottom vacuum cannot see floating debris) but it is NOT an open risk here, because the daily skim covers it. *** Liner and steps close-ups (2026-09-02_2/4.jpg) show clean liner, NO metal staining -- EIGHTH consecutive day. Water temp 74F continues the cooling trend (77 -&gt; 75 -&gt; 74 over three days); observation only, water temp was tested against loss and rejected. *** DOSE 1.0 gal recommended this evening: FC 12.8 is below aim 15, and undosed it lands ~10.6 tomorrow -- above floor 10 but with no margin, and a p90 loss day (3.67) would put it at 9.1, BELOW floor. 1.0 gal -&gt; ~16.6 tonight, projecting ~14.4 at next noon.</t>
        </is>
      </c>
      <c r="W139" s="12249" t="inlineStr">
        <is>
          <t>leaves+pillbugs; low volume but items larger -- whole green oak leaves, yellowjacket, millipede, caterpillar</t>
        </is>
      </c>
    </row>
    <row r="140">
      <c r="A140" s="12250" t="inlineStr">
        <is>
          <t>2026-09-02</t>
        </is>
      </c>
      <c r="B140" s="12251" t="inlineStr">
        <is>
          <t>17:00</t>
        </is>
      </c>
      <c r="C140" s="12251" t="inlineStr">
        <is>
          <t>DOSE</t>
        </is>
      </c>
      <c r="D140" s="12252" t="n"/>
      <c r="E140" s="12252" t="n"/>
      <c r="F140" s="12252" t="n"/>
      <c r="G140" s="12252" t="n"/>
      <c r="H140" s="12252" t="n">
        <v>14.4</v>
      </c>
      <c r="I140" s="12253" t="n"/>
      <c r="J140" s="12254" t="n"/>
      <c r="K140" s="12254" t="n"/>
      <c r="L140" s="12254" t="n"/>
      <c r="M140" s="12252" t="n">
        <v>1</v>
      </c>
      <c r="N140" s="12252" t="n">
        <v>52.5</v>
      </c>
      <c r="O140" s="12252" t="n"/>
      <c r="P140" s="12255" t="n"/>
      <c r="Q140" s="12252" t="n"/>
      <c r="R140" s="12252" t="n"/>
      <c r="S140" s="12252" t="n"/>
      <c r="T140" s="631" t="n"/>
      <c r="U140" s="12251" t="n"/>
      <c r="V140" s="631" t="inlineStr">
        <is>
          <t>5:00 PM, 1.0 gal poured as recommended. Ends a third three-day coast on the 8/30 gallon (17.2 -&gt; 15.8 -&gt; 12.8). Season total 52.5 gal. FC after dose ~16.6; projected next noon 14.4 on the mean model (l24 2.24), 15.0 on the median (last-20 1.65), band 13.0-16.0. *** EARLIER POUR THAN USUAL -- 5:00 PM vs the recent 6:50-6:55 PM pattern. On a sunny day that would matter: the extra ~2h of daylight before sunset is UV exposure the evening model does not charge for. Today it is negligible -- John reports overcast and cloudy, the feed logged only 4.0h sun of 7h, and UV is minimal by 5 PM in early September regardless. Estimated cost well under 0.3 ppm, inside the +/-1.2 noise floor, so the projection is NOT adjusted. Flagging the timing only so a future early pour on a CLEAR day is not silently treated as equivalent. *** Mean-vs-median fork (opened 8/30) stands at median 3, mean 1 after today's mean win; the two centres differ by 0.6 ppm here, still under the noise floor. Keep scoring, revisit at n&gt;=20.</t>
        </is>
      </c>
      <c r="W140" s="12256" t="n"/>
    </row>
    <row r="141">
      <c r="A141" s="12292" t="inlineStr">
        <is>
          <t>2026-09-03</t>
        </is>
      </c>
      <c r="B141" s="12293" t="inlineStr">
        <is>
          <t>13:45</t>
        </is>
      </c>
      <c r="C141" s="12293" t="inlineStr">
        <is>
          <t>TEST</t>
        </is>
      </c>
      <c r="D141" s="12294" t="n"/>
      <c r="E141" s="12294" t="n">
        <v>16.4</v>
      </c>
      <c r="F141" s="12294" t="n">
        <v>0</v>
      </c>
      <c r="G141" s="12294" t="n">
        <v>0.3</v>
      </c>
      <c r="H141" s="12294" t="n"/>
      <c r="I141" s="12295" t="n">
        <v>2</v>
      </c>
      <c r="J141" s="12296" t="n"/>
      <c r="K141" s="12296" t="n"/>
      <c r="L141" s="12296" t="n"/>
      <c r="M141" s="12294" t="n"/>
      <c r="N141" s="12294" t="n"/>
      <c r="O141" s="12294" t="n">
        <v>6.9</v>
      </c>
      <c r="P141" s="12297" t="n">
        <v>0.126</v>
      </c>
      <c r="Q141" s="12294" t="n"/>
      <c r="R141" s="12294" t="n">
        <v>75</v>
      </c>
      <c r="S141" s="12294" t="n">
        <v>13.4</v>
      </c>
      <c r="T141" s="1199" t="inlineStr">
        <is>
          <t>Overcast and cloudy. 77F, 82% RH at test time; sun only 1.2h of 8h daylight so far (15%), 6.9h full-day est., high 78F, 0.126in precip, UV max 6.5. Water temp 75F, up 1F. Level 13.8 -&gt; 13.4 (-79 gal): evaporation exceeded the ~65 gal the logged rain would add.</t>
        </is>
      </c>
      <c r="U141" s="12293" t="inlineStr">
        <is>
          <t>2026-09-03_1.jpg;2026-09-03_2.jpg;2026-09-03_3.jpg;2026-09-03_4.jpg</t>
        </is>
      </c>
      <c r="V141" s="1199" t="inlineStr">
        <is>
          <t>1:45 PM. FC 16.4 (82 drops), CC 0.0, temp 75F, level 13.4. Dose row verified first (8/25 rule): 1.0 gal logged 9/02 17:00. Mass balance: 12.8 @ 31,005 + 1.0 gal - 16.4 @ 30,927 =&gt; 0.33 ppm/24h. *** MISCOUNT FLAG RAISED AND RETRACTED THE SAME DAY -- John, 2026-09-03: 'you predicted this yesterday.. it's 2 drops over.. i think i did count accurately today for sure.' HE IS RIGHT, and the error was in how Claude SCORED the prediction. Yesterday's stated prediction was a BAND, 13.0-16.0 = 65-80 drops. John read 82. THE MISS IS 2 DROPS, 0.4 ppm -- an ordinary near-miss at the edge of a band DESIGNED to be exceeded ~20% of the time. Claude instead scored against dose.py's POINT estimate of 14.4, produced '+2.0 exactly', and read that as the documented whole-ten miscount signature. That is scoring against whichever reference makes the deviation look largest; the 8/07 trigger was never actually met. Reading accepted as correct -- John's in-person call governs. *** TWO FURTHER CORRECTIONS, from checking instead of asserting: (1) 0.33 is NOT 'the second-lowest of the season' as first written -- it is the THIRD-lowest, behind -0.1 (8/20) and 0.2 (7/27); (2) sub-0.5 days are not rare here at all, 5 of 69 = 7% of the season, and the last 7 days contain exactly ONE, not a cluster. 0.33 is an ORDINARY LOW DAY; there was never an anomaly to explain. The 'medium load should not produce the lowest loss' intuition behind the flag is the same load-predicts-loss reasoning rejected nine times and should have carried no weight. *** ALL NINE PHOTOS OPENED per the 8/24 rule. Canister (debris/2026-09-03_1..5.jpg): MEDIUM and a clear step up from 9/02 -- pill bugs numerous again after a light week (dozens clustered in debris/2026-09-03_4.jpg), green oak leaves continuing, a LARGE WINGED INSECT with long membranous wings (crane fly or stonefly type -- not confidently identified, John can settle it per the 8/31 rule), a big brown segmented larva, seeds and brown organics. The exterior panel is visibly more matted than recent days, consistent with John's MEDIUM call. Oak drop continues: third day running with oak material. *** Steps/liner close-up (2026-09-03_2.jpg) shows clean liner, NO metal staining -- NINTH consecutive day. Before and after shots both clear, surface clean in the after per the 9/02 skim rule. *** NO DOSE: FC 16.4 is above aim 15 and well under safe-swim ~19. Undosed it lands ~14.2 (mean model) to ~14.7 (median) tomorrow, and even a p90 loss day leaves 12.7 -- comfortably above floor 10. Band for tomorrow 12.9-15.9.</t>
        </is>
      </c>
      <c r="W141" s="12298" t="inlineStr">
        <is>
          <t>pillbugs+leaves+insects; medium -- pill bugs numerous again, green oak leaves, a large winged insect and larvae</t>
        </is>
      </c>
    </row>
    <row r="142">
      <c r="A142" s="12285" t="inlineStr">
        <is>
          <t>2026-09-04</t>
        </is>
      </c>
      <c r="B142" s="12286" t="inlineStr">
        <is>
          <t>12:35</t>
        </is>
      </c>
      <c r="C142" s="12286" t="inlineStr">
        <is>
          <t>TEST</t>
        </is>
      </c>
      <c r="D142" s="12287" t="n"/>
      <c r="E142" s="12287" t="n">
        <v>14.8</v>
      </c>
      <c r="F142" s="12287" t="n">
        <v>0.2</v>
      </c>
      <c r="G142" s="12287" t="n">
        <v>1.5</v>
      </c>
      <c r="H142" s="12287" t="n"/>
      <c r="I142" s="12288" t="n"/>
      <c r="J142" s="12289" t="n"/>
      <c r="K142" s="12289" t="n"/>
      <c r="L142" s="12289" t="n"/>
      <c r="M142" s="12287" t="n"/>
      <c r="N142" s="12287" t="n"/>
      <c r="O142" s="12287" t="n">
        <v>10.1</v>
      </c>
      <c r="P142" s="12290" t="n">
        <v>0.083</v>
      </c>
      <c r="Q142" s="12287" t="n"/>
      <c r="R142" s="12287" t="n">
        <v>76</v>
      </c>
      <c r="S142" s="12287" t="n">
        <v>14.3</v>
      </c>
      <c r="T142" s="1047" t="inlineStr">
        <is>
          <t>Rain/storm overnight (John), clearing to mainly sunny by the test. 81F, 55% RH at test time; sun 6.3h of 7h daylight so far (90%), 10.1h full-day est., high 82F, 0.083in precip logged, UV max 6.6. Water temp 76F. Level 13.4 -&gt; 14.3 = +0.9 cm, +177 gal from the storm -- the largest single-day gain since mid-August.</t>
        </is>
      </c>
      <c r="U142" s="12286" t="inlineStr">
        <is>
          <t>2026-09-04_1.jpg;2026-09-04_2.jpg;2026-09-04_3.jpg;2026-09-04_4.jpg</t>
        </is>
      </c>
      <c r="V142" s="1047" t="inlineStr">
        <is>
          <t>12:35 PM. FC 14.8 (74 drops), CC 0.2, temp 76F, level 14.3. Dose row verified first (8/25 rule): last dose 9/02 17:00, nothing since, so this interval is correctly UNDOSED. Mass balance: 16.4 @ 30,927 -&gt; 14.8 @ 31,104 =&gt; 1.51 ppm/24h, essentially the last-20 median (1.55) -- a textbook ordinary day. *** DILUTION IS NOT THE STORY, and the mass balance already handles it: the storm added 177 gal, but pure dilution accounts for only 0.09 ppm of the 1.6 raw FC drop. Tracking chlorine as MASS rather than concentration is exactly what makes a rain day readable instead of confounded (7/19 method note). *** PREDICTION HIT, and the best call of the series. Band was 12.9-15.9, actual 14.8 landed inside. The MEDIAN centre said 14.9 -- error -0.1, the closest forward call yet; the mean model said 14.2, error +0.6. Band record now 5 of 7. Mean-vs-median fork (opened 8/30) stands at MEDIAN 4, MEAN 1. That is starting to look one-sided, and it is worth stating plainly that it is STILL NOT ENOUGH: n=5, the two centres differ by 0.6-0.7 ppm, and the noise floor is +/-1.2. POOL.md sets the revisit at n&gt;=20 precisely so a five-day streak does not get promoted into a model change. Keep scoring. *** ALL NINE PHOTOS OPENED per the 8/24 rule. Canister (debris/2026-09-04_1..5.jpg): MEDIUM, consistent with John. Pill bugs numerous again, and the notable items are a LARGE BLACK BEETLE (glossy, ground-beetle or scarab type) and SEVERAL FAT PALE GRUBS -- the biggest single organisms of the recent run. Heavy green/tan organic film on the mesh walls, consistent with a storm washing fresh plant material in. Exterior panel moderate. *** LIVE FROG SKIMMED AND REMOVED, plus a handful of leaves (John). That is roughly the ELEVENTH preventive amphibian removal this season -- a habit that has plausibly avoided several carcass-driven demand spikes (cf. 7/28 mouse 4.41, 8/05 die-off 4.90). Worth continuing to log: it is one of the few interventions here with a clear mechanism behind it. *** The before shot (2026-09-04_1.jpg) shows leaves floating; the after (2026-09-04_4.jpg) is clean -- the daily skim working, per the 9/02 rule. Noting it as the routine functioning, NOT as a concern. *** Steps/liner close-up (2026-09-04_2.jpg): clean liner, NO metal staining -- TENTH consecutive day. *** NO DOSE: FC 14.8 is effectively at aim 15. Undosed it lands ~12.6-13.2 tomorrow (band 11.3-14.3), and even a p90 loss day leaves 11.3, above floor 10. A dose is likely due TOMORROW; deferring keeps FC from creeping and holds the recent ~3-day cadence.</t>
        </is>
      </c>
      <c r="W142" s="12291" t="inlineStr">
        <is>
          <t>pillbugs+leaves+insects+frogs; medium -- large beetle, several fat grubs, live frog skimmed</t>
        </is>
      </c>
    </row>
    <row r="143">
      <c r="A143" s="12257" t="inlineStr">
        <is>
          <t>2026-09-05</t>
        </is>
      </c>
      <c r="B143" s="12258" t="inlineStr">
        <is>
          <t>12:00</t>
        </is>
      </c>
      <c r="C143" s="12258" t="inlineStr">
        <is>
          <t>TEST</t>
        </is>
      </c>
      <c r="D143" s="12259" t="n"/>
      <c r="E143" s="12259" t="n">
        <v>12.2</v>
      </c>
      <c r="F143" s="12259" t="n">
        <v>0</v>
      </c>
      <c r="G143" s="12259" t="n">
        <v>2.6</v>
      </c>
      <c r="H143" s="12259" t="n"/>
      <c r="I143" s="12260" t="n"/>
      <c r="J143" s="12261" t="n"/>
      <c r="K143" s="12261" t="n"/>
      <c r="L143" s="12261" t="n"/>
      <c r="M143" s="12259" t="n"/>
      <c r="N143" s="12259" t="n"/>
      <c r="O143" s="12259" t="n">
        <v>10.3</v>
      </c>
      <c r="P143" s="12262" t="n">
        <v>0.453</v>
      </c>
      <c r="Q143" s="12259" t="n"/>
      <c r="R143" s="12259" t="n">
        <v>75</v>
      </c>
      <c r="S143" s="12259" t="n">
        <v>14.3</v>
      </c>
      <c r="T143" s="813" t="inlineStr">
        <is>
          <t>Sunny and dry (John). 77F, 52% RH at test time; sun 5.5h of 6h daylight so far (91%), 10.3h full-day est., high 79F, UV max 6.5. Water temp 75F. FEED LOGGED 0.453in WHICH THE RULER DOES NOT CORROBORATE -- level held at exactly 14.3, no net gain. Either light overnight rain roughly offset a day's evaporation, or evaporation was under the ruler's 0.1 cm (~20 gal) resolution. Not resolvable and not important: the mass balance depends on LEVEL, which is unchanged, so v0 = v1 and nothing is confounded.</t>
        </is>
      </c>
      <c r="U143" s="12258" t="inlineStr">
        <is>
          <t>2026-09-05_1.jpg;2026-09-05_2.jpg;2026-09-05_3.jpg;2026-09-05_4.jpg</t>
        </is>
      </c>
      <c r="V143" s="813" t="inlineStr">
        <is>
          <t>12:00 PM -- John tested at noon after all, having warned he might not get out until 6 PM. That matters methodologically: the window is 23.42 h, only 0.58 h off 24, so it stays UNDER the 1-hour threshold and NO time normalisation applies (8/29 rule). The 29.4 h / normalise-and-amend-check_log plan prepared this morning is therefore MOOT and was not applied. Dose row verified first (8/25 rule): last dose 9/02 17:00, nothing since -- FC has coasted THREE FULL DAYS again (16.4 -&gt; 14.8 -&gt; 12.2). Mass balance: 14.8 @ 31,104 -&gt; 12.2 @ 31,104 =&gt; 2.60 ppm/24h, above both the last-20 median (1.55) and the season mean (2.24). Third straight day of rising loss: 0.33 -&gt; 1.51 -&gt; 2.60. Logged as an observation; NOT fitted to anything. *** PREDICTION HIT -- and scored against the RIGHT reference, per the rule written yesterday. The claim was the band stated in the 9/04 row for a NORMAL noon reading: 11.3-14.3, centre mean 12.6 / median 13.2. Actual 12.2 landed INSIDE. The revised 6 PM projection issued this morning (centre ~12.9) is NOT the claim -- it was conditional on a 6 PM test that did not happen, and quietly scoring against it either way would be exactly the goalpost-moving retracted on 9/03. Band record 6 of 8. Mean err -0.4, median err -1.0, so the MEAN was closer today; fork now median 4, mean 2. *** ALL ELEVEN PHOTOS OPENED per the 8/24 rule. Canister (debris/2026-09-05_1..7.jpg): LIGHT, matching John and a clear step down from yesterday -- the tray is largely bare with material confined to one side, and the exterior panel (debris/2026-09-05_7.jpg) is noticeably less matted than 9/04. Contents: pill bugs still the bulk, small dark beetles, green oak leaves continuing (FOURTH straight day of oak material), brown leaf fragments, seeds. *** SMALL CREAM SPIRAL SHELLS visible in at least three shots (debris/2026-09-05_2, _3 and _5.jpg) -- most consistent with SNAIL SHELLS: visible whorls, cream/tan, roughly pill-bug sized. FLAGGED AS UNCERTAIN, not asserted: Claude called a reddish object a snail on 8/31 and it was an acorn, so per that rule John's in-person look governs. These do look different from the 8/31 object -- smaller, paler, clearly whorled -- but that is exactly the kind of confidence that was wrong last time. NOT tagged in the Load column: 'snails' is not in the controlled vocabulary, and inventing a tag for an unconfirmed ID is the drift the 8/29 rule exists to stop. If John confirms, add 'snails' to POOL.md deliberately and retag. *** Steps/liner close-up (2026-09-05_2.jpg): clean liner, NO metal staining -- ELEVENTH consecutive day. Before and after both clear, surface clean in the after per the 9/02 skim rule. *** DOSE 1.5 gal RECOMMENDED this evening -- the first 1.5 since 8/19 [CORRECTED: first written as 7/19, which was wrong -- checked the DOSE rows, the previous 1.5 gal was 2026-08-19]. FC 12.2 is the lowest since 8/25 and UNDOSED IT IS NOT SAFE: it lands ~10.0-10.6 tomorrow, and a p90 loss day puts it at 8.7, BELOW floor 10. 1.0 gal would work (16.0 tonight -&gt; 13.8, worst case 12.5) but leaves FC below aim for a fourth straight day while losses are rising and oak drop is building. 1.5 gal -&gt; ~18.0 tonight, still under safe-swim ~19, projecting ~15.7 at next noon and resetting the three-day downward drift rather than chasing it.</t>
        </is>
      </c>
      <c r="W143" s="12263" t="inlineStr">
        <is>
          <t>pillbugs+leaves+insects; light -- pill bugs, small beetles, green oak leaves, seeds</t>
        </is>
      </c>
    </row>
    <row r="144">
      <c r="A144" s="12271" t="inlineStr">
        <is>
          <t>2026-09-05</t>
        </is>
      </c>
      <c r="B144" s="12272" t="inlineStr">
        <is>
          <t>17:50</t>
        </is>
      </c>
      <c r="C144" s="12272" t="inlineStr">
        <is>
          <t>DOSE</t>
        </is>
      </c>
      <c r="D144" s="12273" t="n"/>
      <c r="E144" s="12273" t="n"/>
      <c r="F144" s="12273" t="n"/>
      <c r="G144" s="12273" t="n"/>
      <c r="H144" s="12273" t="n">
        <v>15.7</v>
      </c>
      <c r="I144" s="12274" t="n"/>
      <c r="J144" s="12275" t="n"/>
      <c r="K144" s="12275" t="n"/>
      <c r="L144" s="12275" t="n"/>
      <c r="M144" s="12273" t="n">
        <v>1.5</v>
      </c>
      <c r="N144" s="12273" t="n">
        <v>54</v>
      </c>
      <c r="O144" s="12273" t="n"/>
      <c r="P144" s="12276" t="n"/>
      <c r="Q144" s="12273" t="n"/>
      <c r="R144" s="12273" t="n"/>
      <c r="S144" s="12273" t="n"/>
      <c r="T144" s="827" t="n"/>
      <c r="U144" s="12272" t="n"/>
      <c r="V144" s="827" t="inlineStr">
        <is>
          <t>5:50 PM, 1.5 gal poured as recommended -- the first 1.5-gal dose since 2026-08-19 and the largest of the September stretch. Ends a third three-day coast (16.4 -&gt; 14.8 -&gt; 12.2). Season total crosses 54.0 gal. FC after dose ~18.0, under safe-swim ~19; projected next noon 15.7 (mean model), 16.4 (median), band 14.5-17.5. *** SECOND EARLY POUR, AND THIS TIME ON A SUNNY DAY -- which is precisely the case the 9/02 note said not to treat as equivalent, so here is the follow-through. 5:50 PM vs the usual 6:50 gives roughly one extra hour of daylight before a ~7:15 PM sunset, and today ran 10.3 sun hours versus 6.0 on 9/02. BUT the effect is smaller than that framing implies, for a reason worth stating: the mechanism being invoked is UV burn-off, and SUN HOURS WERE TESTED AGAINST LOSS AND REJECTED (r = +0.14, and every predictor lost to a flat mean under LOOCV). The prior on this mattering is therefore low, and the last hour before sunset carries very little UV at a September sun angle regardless. Estimated cost still well under 0.3 ppm, inside the +/-1.2 noise floor. PROJECTION NOT ADJUSTED. Recording it so the pattern is visible if early pours become routine -- but flagging that Claude's 9/02 note slightly overstated the concern by not checking it against the sun-vs-loss result already in hand.</t>
        </is>
      </c>
      <c r="W144" s="12277" t="n"/>
    </row>
    <row r="145">
      <c r="A145" s="12285" t="inlineStr">
        <is>
          <t>2026-09-06</t>
        </is>
      </c>
      <c r="B145" s="12286" t="inlineStr">
        <is>
          <t>12:20</t>
        </is>
      </c>
      <c r="C145" s="12286" t="inlineStr">
        <is>
          <t>TEST</t>
        </is>
      </c>
      <c r="D145" s="12287" t="n"/>
      <c r="E145" s="12287" t="n"/>
      <c r="F145" s="12287" t="n">
        <v>0</v>
      </c>
      <c r="G145" s="12287" t="n"/>
      <c r="H145" s="12287" t="n"/>
      <c r="I145" s="12288" t="n"/>
      <c r="J145" s="12289" t="n"/>
      <c r="K145" s="12289" t="n"/>
      <c r="L145" s="12289" t="n"/>
      <c r="M145" s="12287" t="n"/>
      <c r="N145" s="12287" t="n"/>
      <c r="O145" s="12287" t="n">
        <v>4.8</v>
      </c>
      <c r="P145" s="12290" t="n">
        <v>0</v>
      </c>
      <c r="Q145" s="12287" t="n"/>
      <c r="R145" s="12287" t="n">
        <v>74</v>
      </c>
      <c r="S145" s="12287" t="n">
        <v>13.6</v>
      </c>
      <c r="T145" s="1047" t="inlineStr">
        <is>
          <t>Clear at test time but only 6.7h sun of 13h daylight (51%), 4.8h full-day est. -- a dull day overall. 65F air, 75% RH, high 73F, 0.00in precip, UV max 5.3 (the lowest UV max logged this season). Water temp 74F, down 1F and the coolest reading of the series. Level 14.3 -&gt; 13.6 = -0.7 cm, ~137 gal of evaporation, no rain.</t>
        </is>
      </c>
      <c r="U145" s="12286" t="inlineStr">
        <is>
          <t>2026-09-06_1.jpg;2026-09-06_2.jpg;2026-09-06_3.jpg;2026-09-06_4.jpg</t>
        </is>
      </c>
      <c r="V145" s="1047" t="inlineStr">
        <is>
          <t>*** FC WITHHELD 2026-09-07 (John's call). The reading was 77 drops = 15.4; it is NOT logged as a value because conservation of mass proves it wrong -- 9/07 read 17.4 on FRESH powder with NO dose in between, and chlorine cannot increase without being added (the pair implies ~0.51 gal that was never poured). Most likely a whole-ten miscount (77 counted, 87 actual -- John's documented 8/07 error mode), probably compounded by the old DPD container reading 0.8 ppm low as measured by the 9/07 paired test. THE DROP COUNT IS PRESERVED HERE (77) so nothing is lost; only the derived FC, its loss and its prediction error are cleared, which drops both affected pairs out of analyze_loss.py automatically. Same treatment as the 7/11-7/16 degraded-reagent era. NOTE: CC 0.0 was read on the same old powder -- degraded DPD under-reads, so a small real CC could have been masked; 0.0 is already the floor so it is kept, but treat it as a lower bound. *** 12:20 PM (time supplied by John after the row was first held back -- see below). FC 15.4 (77 drops), CC 0.0, temp 74F, level 13.6. Dose row verified first (8/25 rule): 1.5 gal logged 9/05 17:50. Window 24.33 h, only 0.33 h off, so no normalisation (8/29 rule). Mass balance: 12.2 @ 31,104 + 1.5 gal - 15.4 @ 30,966 =&gt; 2.68 ppm/24h. *** THE ROW WAS DELIBERATELY HELD, NOT LOGGED PARTIAL. At first report the test TIME was missing and the canister had not been pulled, i.e. two fields check_log.py requires on a day's first test. Rather than invent a time (the 8/31 mistake) or characterise load from pool shots alone (the 8/24 mistake, which produced three days of false 'fine particulate only' calls), the chemistry was reported to John immediately and the row was written once both arrived. Recording the choice because the alternative -- a placeholder row -- is exactly what makes missing data invisible later. *** PREDICTION HIT, and the best of the series so far: dose.py said 15.7, actual 15.4, error -0.3. Band was 14.5-17.5. Mean err -0.3 vs median -1.0, so the MEAN was closer for a third straight day; fork now median 4, mean 3, and the median's early lead has essentially evaporated. Band record 7 of 9. This is precisely why POOL.md sets the revisit at n&gt;=20 -- a 4-1 lead after five days became 4-3 after eight, on a difference that was always inside the noise floor. *** LOSS 2.68 follows 2.60, which reads like a rising trend and is NOT one. The seven-day series is 1.4 / 3.0 / 0.3 / 1.5 / 2.6 / 2.7: a 3.0 and a 0.3 inside four days is what this pool's noise looks like, and both recent values sit inside the ordinary range (last-20 p90 is 3.05). No trend claimed, nothing retuned. *** ALL NINE PHOTOS OPENED per the 8/24 rule. Canister (debris/2026-09-06_1..5.jpg): PILL BUGS DOMINANT AND NUMEROUS, a clear step up from yesterday's light day -- a dense band of them along one side of the tray, dozens visible in the macros. Also green leaves, heavy moss/green plant film on the mesh walls, seeds, small pale larvae and a few small beetles. Exterior panel moderate and evenly loaded. QUANTITY: John calls it MEDIUM (given after the row was first written), and per the 8/25 rule his in-person call governs. That sits between 9/05 (light) and 9/04 (medium), so the pill-bug rebound is real but not a spike. *** LIKELY RESOLUTION OF YESTERDAY'S 'SNAIL SHELLS': today's macros show many pill bugs ROLLED INTO BALLS, and a rolled pill bug is a small banded sphere that photographs almost exactly like the cream spiral shells flagged on 9/05 -- same size, same pale banding read as whorls. Given pill bugs are dominant every single day and a snail has never been confirmed here, the base rate strongly favours rolled pill bugs. Not asserted; John can still settle it, but the 9/05 flag should be treated as probably explained rather than open. Second time in a week that a confident-looking macro ID (8/31 acorn, 9/05 'snail') has pointed the wrong way -- macro shots of wet debris are simply not reliable for identification. *** CORRECTION -- THERE IS AN AFTER SHOT, and Claude misread it (John, 2026-09-06: 'the after shot was the last photo from the earlier batch'). 2026-09-06_4.jpg IS the post-vacuum, post-skim frame. Claude claimed BOTH wide shots showed the vacuum still working; zooming 3x settles it: in 2026-09-06_1.jpg the object is unmistakably the ROBOT -- hard rectangular housing, visible body lines -- while in 2026-09-06_4.jpg it is a soft-edged irregular dark shape, not the robot at all, most consistent with a single leaf at the surface or a shadow, and not resolvable further. The failure was asserting from a small dark blob WITHOUT zooming. On 8/31 the same object type was zoomed first and called correctly. THIRD photo-reading miss in a week (8/31 acorn-not-snail, 9/05 'snail shells' probably rolled pill bugs, today's phantom vacuum) -- all three from reading small shapes at full-frame scale. *** Steps/liner close-up (2026-09-06_2.jpg): clean liner, NO metal staining -- TWELFTH consecutive day. *** NO DOSE: FC 15.4 is above aim 15 and 1.5 gal went in last night. Undosed it lands ~13.2 (mean) to ~13.8 (median) tomorrow, band 12.3-14.9, floor 10 far away.</t>
        </is>
      </c>
      <c r="W145" s="12291" t="inlineStr">
        <is>
          <t>pillbugs+leaves; medium (John) -- pill bugs dominant, green leaves, moss, seeds and small larvae</t>
        </is>
      </c>
    </row>
    <row r="146">
      <c r="A146" s="12292" t="inlineStr">
        <is>
          <t>2026-09-07</t>
        </is>
      </c>
      <c r="B146" s="12293" t="inlineStr">
        <is>
          <t>13:15</t>
        </is>
      </c>
      <c r="C146" s="12293" t="inlineStr">
        <is>
          <t>TEST</t>
        </is>
      </c>
      <c r="D146" s="12294" t="n"/>
      <c r="E146" s="12294" t="n">
        <v>17.4</v>
      </c>
      <c r="F146" s="12294" t="n">
        <v>0</v>
      </c>
      <c r="G146" s="12294" t="n"/>
      <c r="H146" s="12294" t="n"/>
      <c r="I146" s="12295" t="n"/>
      <c r="J146" s="12296" t="n"/>
      <c r="K146" s="12296" t="n"/>
      <c r="L146" s="12296" t="n"/>
      <c r="M146" s="12294" t="n"/>
      <c r="N146" s="12294" t="n"/>
      <c r="O146" s="12294" t="n">
        <v>11.1</v>
      </c>
      <c r="P146" s="12297" t="n">
        <v>0</v>
      </c>
      <c r="Q146" s="12294" t="n"/>
      <c r="R146" s="12294" t="n">
        <v>74</v>
      </c>
      <c r="S146" s="12294" t="n">
        <v>13.3</v>
      </c>
      <c r="T146" s="1199" t="inlineStr">
        <is>
          <t>Clear and sunny (John). 79F, 39% RH at test time -- very dry; sun 6.5h of 7h daylight so far (93%), 11.1h full-day est., high 80F, 0.00in precip, UV max 6.3. Water temp 74F. Level 13.6 -&gt; 13.3 = -0.3 cm, ~59 gal evaporation.</t>
        </is>
      </c>
      <c r="U146" s="12293" t="inlineStr">
        <is>
          <t>2026-09-07_1.jpg;2026-09-07_2.jpg;2026-09-07_3.jpg;2026-09-07_4.jpg</t>
        </is>
      </c>
      <c r="V146" s="1199" t="inlineStr">
        <is>
          <t>1:15 PM. *** FC 17.4 (87 drops) ON NEW DPD POWDER -- this is the value of record and what we use going forward. *** PAIRED OLD-vs-NEW POWDER TEST, the comparison POOL.md has had pending since 8/23. John ran the last of the old container FIRST: 83 drops = 16.6. He then immediately ran the fresh large container: 87 drops = 17.4. SAME pool, minutes apart, so decay is negligible. OLD READS 0.8 ppm LOW (4 drops). Direction is exactly as predicted: degraded or insufficient DPD develops less colour and reads LOW, never high, so the FRESH reading is the trustworthy one. John's visual matches the chemistry -- new powder bright white and dry, the last of the old off-white and slightly grey. This is a real quantified reagent bias, not an inference. *** 🔴 YESTERDAY'S 15.4 IS IMPOSSIBLE, AND IT IS NOT A JUDGEMENT CALL. Dose rows verified (8/25 rule): last dose 9/05 17:50, NOTHING since. FC cannot rise without chlorine being added, yet the log has 15.4 on 9/06 and 17.4 today. Mass balance: 476,879 -&gt; 537,787 ppm-gal, an INCREASE of 60,908, which would require ~0.51 gal that was never poured. One of the two readings must be wrong, and it cannot be today's -- fresh powder cannot read HIGH. So 9/06 is low. *** WHICH EXPLANATION? John's own hypothesis is a whole-ten miscount (77 counted, 87 actual), his documented error mode from 8/07. Testing all three against the physics: as-read 15.4 gives a loss of -1.97 (impossible); a 0.8 ppm powder bias gives -1.17 (still impossible); ONLY the whole-ten gives a physically possible +0.03. So the whole ten is the only single explanation that survives -- John reasoned to the right answer. But +0.03 loss on a sunny day is implausibly low, so the honest reading is probably BOTH: a whole-ten miscount AND a powder bias, putting 9/06's true FC near 18.2 and yesterday's real loss near 0.8, an ordinary quiet day. Flagging that this is a two-error story fitted after the fact -- it hangs together, but it is not independently confirmed. *** THIS ROW'S FC LOSS IS NOW BLANK. It briefly held -2.0, the arithmetic artifact of pairing a bad reading with a good one; John approved withholding 9/06's FC, so the prior value is gone and no loss can be computed for this pair at all -- which is the honest state. Originally logged as -2.0 rather than hidden; It is the arithmetic artifact of pairing a bad reading with a good one, logged rather than hidden so it is visible in the series. EXCLUDE IT from loss statistics -- today's forecast band below was computed WITHOUT it. RECOMMENDED to John: blank 9/06's FC the way the 7/11-7/16 degraded-reagent era was logged blank, keeping the 77-drop count in that row's notes, which would drop the bad pair out of analyze_loss.py automatically. NOT done unilaterally: it is his measurement and his call. *** IMPLICATION FOR THE RECENT SERIES, stated carefully: if the old container was degrading as it emptied, recent FC readings ran low, and a GROWING bias inflates computed losses. The elevated 2.60 (9/05) and 2.68 (9/06) are exactly the days that would be affected. This is NOT a revival of the reagent-drift hypothesis closed on 8/24 -- that concerned a different container and was killed by a clean-powder 3.64 day. This is a new container, newly measured at 0.8 ppm bias. Treat 9/05-9/06 losses as SOFT. Do not re-derive anything from them. *** ALL ELEVEN PHOTOS OPENED per the 8/24 rule. Canister (debris/2026-09-07_1..7.jpg): LIGHT, matching John -- tray largely bare with one modest cluster. Pill bugs dominant, a green grass blade, moss film on the mesh, seeds. *** THE 9/05 'SNAIL SHELLS' ARE SETTLED: debris/2026-09-07_6.jpg shows a dense cluster of PILL BUGS ROLLED INTO BALLS, segmented banding plainly visible, and debris/2026-09-07_5.jpg shows a pale cream one -- a freshly moulted pill bug, which moults in two halves and comes out white. That is exactly what was called 'small cream spiral shells' on 9/05. No snails. Confirms the 9/06 read and closes the question. *** Steps/liner (2026-09-07_2.jpg): clean, NO metal staining -- THIRTEENTH consecutive day. After shot (2026-09-07_4.jpg) clear with a clean surface. *** NO DOSE: FC 17.4 is above aim 15 and below safe-swim ~19. Undosed it lands ~15.2-15.8 tomorrow, band 14.3-16.9 (computed excluding the -2.0 artifact).</t>
        </is>
      </c>
      <c r="W146" s="12298" t="inlineStr">
        <is>
          <t>pillbugs+leaves; light (John) -- pill bugs dominant incl. rolled and one freshly moulted, grass blade, moss, seeds</t>
        </is>
      </c>
    </row>
    <row r="147">
      <c r="A147" s="12243" t="inlineStr">
        <is>
          <t>2026-09-08</t>
        </is>
      </c>
      <c r="B147" s="12244" t="inlineStr">
        <is>
          <t>12:20</t>
        </is>
      </c>
      <c r="C147" s="12244" t="inlineStr">
        <is>
          <t>TEST</t>
        </is>
      </c>
      <c r="D147" s="12245" t="n"/>
      <c r="E147" s="12245" t="n">
        <v>14</v>
      </c>
      <c r="F147" s="12245" t="n">
        <v>0</v>
      </c>
      <c r="G147" s="12245" t="n">
        <v>3.4</v>
      </c>
      <c r="H147" s="12245" t="n"/>
      <c r="I147" s="12246" t="n"/>
      <c r="J147" s="12247" t="n"/>
      <c r="K147" s="12247" t="n"/>
      <c r="L147" s="12247" t="n"/>
      <c r="M147" s="12245" t="n"/>
      <c r="N147" s="12245" t="n"/>
      <c r="O147" s="12245" t="n">
        <v>11.1</v>
      </c>
      <c r="P147" s="12248" t="n">
        <v>0</v>
      </c>
      <c r="Q147" s="12245" t="n"/>
      <c r="R147" s="12245" t="n">
        <v>73</v>
      </c>
      <c r="S147" s="12245" t="n">
        <v>13.3</v>
      </c>
      <c r="T147" s="624" t="inlineStr">
        <is>
          <t>Clear and sunny (John). 80F, 42% RH at test time; sun 5.4h of 6h daylight so far (90%), 11.1h full-day est., high 81F, 0.00in precip, UV max 6.1. WATER TEMP 73F -- the coolest of the season, down from a late-August plateau of 77. Level held at 13.3, unchanged: on a dry sunny day that means evaporation came in under the ruler's 0.1 cm (~20 gal) resolution, which is ordinary now that the water is cool and the days are short.</t>
        </is>
      </c>
      <c r="U147" s="12244" t="inlineStr">
        <is>
          <t>2026-09-08_1.jpg;2026-09-08_2.jpg;2026-09-08_3.jpg;2026-09-08_4.jpg</t>
        </is>
      </c>
      <c r="V147" s="624" t="inlineStr">
        <is>
          <t>12:20 PM. FC 14.0 (70 drops), CC 0.0, temp 73F, level 13.3. Dose row verified first (8/25 rule): last dose 9/05 17:50, nothing since -- THREE full days undosed. Mass balance: 17.4 @ 30,907 -&gt; 14.0 @ 30,907 =&gt; 3.40 ppm/24h. *** FIRST CLEAN NEW-POWDER PAIR. Both ends were read on the fresh container, so this loss carries NO reagent bias -- unlike the 9/06 pair, which was withheld, and unlike the old-powder days where a bias could only distort the difference if it was GROWING (a constant offset cancels in a subtraction). 3.40 is a genuine number and a HIGH one: it sits at the 85th percentile of the last 20 and just under the p90 of 3.41. *** NO EXPLANATION OFFERED, deliberately. It was clear and sunny with LIGHT sediment -- sun has been tested against loss and rejected (r = +0.14), and load class has failed nine times, so the two facts most available to reach for are exactly the two the data says mean nothing. A high day inside the ordinary range needs no story. *** PREDICTION MISSED LOW -- the first low-side failure. Band was 14.3-16.9; actual 14.0 came in 0.3 BELOW it. The two previous outright misses (8/31, 9/03) were both high, so this is a new direction rather than a repeat bias. Mean err -1.2 vs median -1.8, so the MEAN was closer for a fourth straight day; the fork opened 8/30 now stands MEDIAN 4, MEAN 4 -- dead level, after the median led 4-1 nine days ago. That reversal on a difference that never exceeded the noise floor is the clearest possible argument for the n&gt;=20 rule and against acting on streaks. *** ALL NINE PHOTOS OPENED per the 8/24 rule. Canister (debris/2026-09-08_1..5.jpg): LIGHT, matching John -- tray largely clear with pill bugs banded along one side. Pill bugs dominant as always, plus a DEAD CRICKET or grasshopper (first in the series -- pale, wings and legs intact), a curled millipede, a small reddish worm, moss film and seeds. Exterior panel light-to-moderate. *** MOULT EXPLANATION REINFORCED: debris/2026-09-08_3.jpg and _4.jpg both show a distinctly PALE CREAM pill bug among the normal grey ones -- freshly moulted, exactly the object that was called a 'snail shell' on 9/05 and an unknown pale item on 9/07. Third independent sighting; the identification is settled. *** Steps/liner (2026-09-08_2.jpg): clean, NO metal staining -- FOURTEENTH consecutive day, two full weeks. After shot (2026-09-08_4.jpg) clear with a clean surface. *** DOSE 1.0 gal RECOMMENDED this evening. FC 14.0 is below aim 15 and three days undosed. Undosed it lands ~11.8-12.4 tomorrow, and a repeat of today's 3.40 would put it at 10.6 -- above floor 10 but with nothing to spare. 1.0 gal -&gt; ~17.8 tonight, projecting ~15.6 at next noon, worst case 14.4.</t>
        </is>
      </c>
      <c r="W147" s="12249" t="inlineStr">
        <is>
          <t>pillbugs+insects; light (John) -- pill bugs dominant incl. one freshly moulted, a dead cricket, millipede, moss and seeds</t>
        </is>
      </c>
    </row>
    <row r="148">
      <c r="A148" s="12250" t="inlineStr">
        <is>
          <t>2026-09-08</t>
        </is>
      </c>
      <c r="B148" s="12251" t="inlineStr">
        <is>
          <t>19:00</t>
        </is>
      </c>
      <c r="C148" s="12251" t="inlineStr">
        <is>
          <t>DOSE</t>
        </is>
      </c>
      <c r="D148" s="12252" t="n"/>
      <c r="E148" s="12252" t="n"/>
      <c r="F148" s="12252" t="n"/>
      <c r="G148" s="12252" t="n"/>
      <c r="H148" s="12252" t="n">
        <v>15.6</v>
      </c>
      <c r="I148" s="12253" t="n"/>
      <c r="J148" s="12254" t="n"/>
      <c r="K148" s="12254" t="n"/>
      <c r="L148" s="12254" t="n"/>
      <c r="M148" s="12252" t="n">
        <v>1</v>
      </c>
      <c r="N148" s="12252" t="n">
        <v>55</v>
      </c>
      <c r="O148" s="12252" t="n"/>
      <c r="P148" s="12255" t="n"/>
      <c r="Q148" s="12252" t="n"/>
      <c r="R148" s="12252" t="n"/>
      <c r="S148" s="12252" t="n"/>
      <c r="T148" s="631" t="n"/>
      <c r="U148" s="12251" t="n"/>
      <c r="V148" s="631" t="inlineStr">
        <is>
          <t>7:00 PM, 1.0 gal poured as recommended. Ends a third three-day undosed stretch (17.4 -&gt; 14.0 across 9/06-9/08, with 9/06's FC withheld). SEASON TOTAL CROSSES 55.0 gal. FC after dose ~17.8, under safe-swim ~19; projected next noon 15.6 (mean model), 16.3 (median), band 14.4-17.3. *** DOSE TIMING BACK TO NORMAL, which closes out the early-pour thread. The last four pours ran 18:55, 18:50, 17:00, 17:50 -- the two September ones drifted an hour or more early, and 9/05's fell on a genuinely sunny day, the case the 9/02 note said not to treat as equivalent. Tonight's 19:00 is the latest of the four and squarely in the usual window, so there is nothing to adjust and no pattern to keep watching. Restating the correction made on 9/05 so it does not get re-litigated: the concern was OVERSTATED to begin with, because the mechanism it assumed -- UV burning off a fresh dose -- rests on sun hours, which were tested against loss and REJECTED (r = +0.14; every predictor lost to a flat mean under LOOCV). Estimated cost of an early pour stays well under 0.3 ppm either way, inside the +/-1.2 noise floor. *** Cadence note, descriptive only: doses have settled into a steady ~3-day rhythm since 8/27 (8/27, 8/30, 9/02, 9/05, 9/08 -- exactly 3 days apart, five in a row) at 1.0-1.5 gal each. That is a consequence of FC drifting from ~17-18 down toward aim at roughly 1.5-2.5 ppm/day, not a schedule being followed, and it should NOT be turned into one: the dose decision stays driven by the measured FC each noon.</t>
        </is>
      </c>
      <c r="W148" s="12256" t="n"/>
    </row>
    <row r="149">
      <c r="A149" s="12292" t="inlineStr">
        <is>
          <t>2026-09-09</t>
        </is>
      </c>
      <c r="B149" s="12293" t="inlineStr">
        <is>
          <t>13:30</t>
        </is>
      </c>
      <c r="C149" s="12293" t="inlineStr">
        <is>
          <t>TEST</t>
        </is>
      </c>
      <c r="D149" s="12294" t="n"/>
      <c r="E149" s="12294" t="n">
        <v>16.8</v>
      </c>
      <c r="F149" s="12294" t="n">
        <v>0</v>
      </c>
      <c r="G149" s="12294" t="n">
        <v>1.2</v>
      </c>
      <c r="H149" s="12294" t="n"/>
      <c r="I149" s="12295" t="n">
        <v>1.2</v>
      </c>
      <c r="J149" s="12296" t="n"/>
      <c r="K149" s="12296" t="n"/>
      <c r="L149" s="12296" t="n"/>
      <c r="M149" s="12294" t="n"/>
      <c r="N149" s="12294" t="n"/>
      <c r="O149" s="12294" t="n">
        <v>8.1</v>
      </c>
      <c r="P149" s="12297" t="n">
        <v>0</v>
      </c>
      <c r="Q149" s="12294" t="n"/>
      <c r="R149" s="12294" t="n">
        <v>73</v>
      </c>
      <c r="S149" s="12294" t="n">
        <v>12.8</v>
      </c>
      <c r="T149" s="1199" t="inlineStr">
        <is>
          <t>Cool and dry (John). Mainly clear at test time, 78F, 74% RH; sun 4.8h of 7h daylight so far (69%), 8.1h full-day est., high 78F, 0.00in precip, UV max 6.2. Water temp 73F, level with yesterday and still the season's coolest.</t>
        </is>
      </c>
      <c r="U149" s="12293" t="inlineStr">
        <is>
          <t>2026-09-09_1.jpg;2026-09-09_2.jpg;2026-09-09_3.jpg;2026-09-09_4.jpg</t>
        </is>
      </c>
      <c r="V149" s="1199" t="inlineStr">
        <is>
          <t>1:30 PM. FC 16.8 (84 drops), CC 0.0, temp 73F, level 12.8. Dose row verified first (8/25 rule): 1.0 gal logged 9/08 19:00. Mass balance: 14.0 @ 30,907 + 1.0 gal - 16.8 @ 30,809 =&gt; 1.15 ppm/24h, below the last-20 median and an easy day -- the mirror of yesterday's 3.40, and a good illustration that consecutive days here carry no information about each other. Second consecutive clean new-powder pair. *** PREDICTION HIT, and the BAND IS NOW CALIBRATED AS DESIGNED. Band was 14.4-17.3; actual 16.8 landed inside. Counting only forecasts that can fairly be scored -- excluding the 9/06 pair whose outcome is withheld and the 9/07 pair built on that bad input -- the record is 7 HITS in 10, i.e. 70%, against a p20-p90 band whose design coverage is exactly 70%. n=10 is not proof, but the band is behaving the way it was constructed to. *** MEDIAN closer today (+0.5 vs mean +1.2), so the fork opened 8/30 goes to MEDIAN 5, MEAN 4. Recall it read 4-1 median on 9/04 and 4-4 yesterday. Three lead changes in ten days on a gap that has never once exceeded the +/-1.2 noise floor: keep scoring, change nothing, revisit at n&gt;=20. *** WATER-LEVEL WATCH RAISED AND RETRACTED SAME DAY -- John, 2026-09-09: 'the water level is still high enough that the skimmer doesn't totally function properly, so i am not worried about water level.' The level is not merely adequate, it is still on the HIGH side of what the skimmer wants: a skimmer draws surface film best with the waterline part-way up its mouth, and water sitting too high gives too little velocity over the weir. So at 12.8 cm the pool has a long way to fall before low water is a concern -- the risk direction Claude flagged is the one with the most margin. *** THE ERROR: Claude reasoned from a generic 'level is dropping, therefore watch it' heuristic WITHOUT knowing where the skimmer mouth sits relative to the ruler, which is the only fact that makes a level number mean anything. It even noted in the same breath that the SEASON LOW was 11.65 cm on 7/04, below today's reading, and raised the watch anyway -- so the log already contained the evidence against it. Standing rule: THE RULER IS AN ARBITRARY DATUM, NOT AN OPERATING LIMIT. It measures volume for the mass balance; it says nothing about equipment function. John knows his own skimmer's geometry and will say if a fill matters. *** ALL TEN PHOTOS OPENED per the 8/24 rule. Canister (debris/2026-09-09_1..6.jpg): LIGHT, matching John -- exterior panel visibly cleaner than the past few days. Pill bugs dominant as always (rolled and unrolled), a CRICKET for the second day running, a long pale millipede, a reddish-brown beetle, green leaves showing some skeletonisation, moss film, seeds and spider silk through the mesh. *** Steps/liner (2026-09-09_2.jpg): clean, NO metal staining -- FIFTEENTH consecutive day. After shot (2026-09-09_4.jpg) clear with a clean surface; the dog is visible on the deck, NOT in the pool, so no bather load. *** NO DOSE: FC 16.8 is above aim 15 and under safe-swim ~19, one day after a 1.0 gal dose. Undosed it lands ~14.6-15.4 tomorrow, band 13.4-16.3, floor 10 far away.</t>
        </is>
      </c>
      <c r="W149" s="12298" t="inlineStr">
        <is>
          <t>pillbugs+leaves+insects; light (John) -- pill bugs dominant, a cricket, millipede, beetle, moss and seeds</t>
        </is>
      </c>
    </row>
    <row r="150">
      <c r="A150" s="12285" t="inlineStr">
        <is>
          <t>2026-09-10</t>
        </is>
      </c>
      <c r="B150" s="12286" t="inlineStr">
        <is>
          <t>13:20</t>
        </is>
      </c>
      <c r="C150" s="12286" t="inlineStr">
        <is>
          <t>TEST</t>
        </is>
      </c>
      <c r="D150" s="12287" t="n"/>
      <c r="E150" s="12287" t="n">
        <v>17.4</v>
      </c>
      <c r="F150" s="12287" t="n">
        <v>0.2</v>
      </c>
      <c r="G150" s="12287" t="n">
        <v>-0.6</v>
      </c>
      <c r="H150" s="12287" t="n"/>
      <c r="I150" s="12288" t="n"/>
      <c r="J150" s="12289" t="n"/>
      <c r="K150" s="12289" t="n"/>
      <c r="L150" s="12289" t="n"/>
      <c r="M150" s="12287" t="n"/>
      <c r="N150" s="12287" t="n"/>
      <c r="O150" s="12287" t="n">
        <v>9.1</v>
      </c>
      <c r="P150" s="12290" t="n">
        <v>0</v>
      </c>
      <c r="Q150" s="12287" t="n"/>
      <c r="R150" s="12287" t="n">
        <v>74</v>
      </c>
      <c r="S150" s="12287" t="n">
        <v>12.8</v>
      </c>
      <c r="T150" s="1047" t="inlineStr">
        <is>
          <t>HEAVY WINDS OVERNIGHT, lots of surface debris to skim (John); dry. Overcast at test time, 86F, 47% RH; sun 5.0h of 7h so far, 9.1h full-day est., high 87F, 0.00in precip, UV max 6.3. Water temp 74F. Level unchanged at 12.8 -- wind, not rain, so no water added.</t>
        </is>
      </c>
      <c r="U150" s="12286" t="inlineStr">
        <is>
          <t>2026-09-10_1.jpg;2026-09-10_2.jpg;2026-09-10_3.jpg;2026-09-10_4.jpg;2026-09-10_5.jpg</t>
        </is>
      </c>
      <c r="V150" s="1047" t="inlineStr">
        <is>
          <t>1:20 PM. *** FC 17.4 (87 drops) -- REPLICATED IMMEDIATELY: John thought it was wrong, started over, and got EXACTLY 87 again. This is the 7/22 rule working precisely as intended: a surprising reading gets an immediate second sample, and a zero-drop spread makes today the most trustworthy single number of the week. CC 0.2, temp 74F, level 12.8. *** YESTERDAY'S 16.8 WAS LOW, AND THE PHYSICS SAYS BY HOW MUCH. Dose rows verified: last dose 9/08 19:00, NOTHING since, yet the log reads 16.8 -&gt; 17.4 -- FC rising with no chlorine added, which cannot happen (level unchanged, so evaporative concentration is ruled out too). Today is the replicated anchor, so 9/09 was low. Two hard constraints box it in: (1) FLOOR -- for today's loss to be &gt;= 0, 9/09 must have been &gt;= 17.40; (2) CEILING -- from 9/08's 14.0 plus the 1.0 gal that night, even with ZERO overnight loss 9/09 could reach at most 17.95. So 9/09's true FC lay between 87 and 90 DROPS. John counted 84: OFF BY 3-6 DROPS. *** NOT A WHOLE TEN THIS TIME -- and that is worth saying because on 9/07 it was. A ten (94 drops = 18.8) would EXCEED the 17.95 ceiling, so it is ruled out by the 9/08 reading. John's own read -- 'maybe yesterday was a little off' -- is exactly right: a little, 3-6 drops. Do not pattern-match this onto the 8/07 whole-ten mode. *** WHATEVER 9/09 REALLY WAS, the two-day loss 9/08 -&gt; 9/10 is fixed by the two trustworthy ends: 0.55 ppm total, ~0.28/day -- low, over a stretch that included a heavy-leaf wind event. Logged, not explained. *** THE HONEST LESSON, and it runs against intuition: today's reading FELT wrong to John and was RIGHT; yesterday's felt fine and was WRONG. Yesterday's 16.8 landed INSIDE the stated forecast band (14.4-17.3), so it tripped no surprise and prompted no replicate -- an error inside the expected range is INVISIBLE in the moment. Only conservation of mass caught it, a day later. Instinct about which reading is off can point the wrong way; the replicate and the physics are what settle it. *** FREQUENCY, stated factually: before 9/06 the season had essentially NO impossible readings -- the only negative loss was -0.09 on 8/19, inside rounding. Now there are two material ones in five days (9/06-&gt;9/07 at -1.97, withheld; 9/09-&gt;9/10 at -0.60). One fell on the OLD powder and one on the NEW, so this is NOT evidence of a new-powder problem. n=2 -- noted, not theorised. *** THIS ROW'S -0.6 IS NOT A LOSS; it is the artifact of pairing a low reading with a good one, logged visibly as on 9/07. Exclude it from loss statistics -- today's band below was computed without it. RECOMMENDED to John: withhold 9/09's FC with the 84-drop count preserved in its notes, same treatment as 9/06, since the physics proves it wrong. NOT done unilaterally. *** THE WIND EVENT IS VISIBLE IN THE CANISTER -- the notable change today. ALL TEN PHOTOS OPENED per the 8/24 rule. debris/2026-09-10_1..4.jpg show a canister DOMINATED BY WHOLE GREEN LEAVES for the first time this season -- serrated cherry/birch-type leaves, lobed leaves, a large brown one, an orange fragment -- with pill bugs reduced to a minor component. The pill-bug-dominated pattern of the past three weeks gave way in a single night. Exterior panel moderate. John reports MEDIUM sediment and heavy surface debris, which he skimmed; the after shot (2026-09-10_4.jpg) is clear with a clean surface. Deliberately NOT connected to loss. *** FILTER PRESSURE (John sent it 'for the heck of it', 2026-09-10_5.jpg): WIKA gauge, needle ZOOMED before reading per the 9/06 rule -- just above the 10 mark, ABOUT 11-12 psi. That is at the low end of the 12-14 psi clean baseline recorded 9/01 and nowhere near the ~22 psi backwash trigger. A dirty filter reads HIGH, so a reading at or under baseline means clean. No action. *** Steps/liner (2026-09-10_2.jpg): clean, NO metal staining -- SIXTEENTH consecutive day. *** NO DOSE: FC 17.4 is above aim 15 and under safe-swim ~19. Undosed it lands ~15.2-15.9 tomorrow, band 14.0-16.9 (computed excluding the -0.6 artifact).</t>
        </is>
      </c>
      <c r="W150" s="12291" t="inlineStr">
        <is>
          <t>leaves+pillbugs; medium (John) -- wind event, canister dominated by whole green leaves for the first time, pill bugs minor</t>
        </is>
      </c>
    </row>
    <row r="151">
      <c r="A151" s="12257" t="inlineStr">
        <is>
          <t>2026-09-11</t>
        </is>
      </c>
      <c r="B151" s="12258" t="inlineStr">
        <is>
          <t>12:15</t>
        </is>
      </c>
      <c r="C151" s="12258" t="inlineStr">
        <is>
          <t>TEST</t>
        </is>
      </c>
      <c r="D151" s="12259" t="n"/>
      <c r="E151" s="12259" t="n">
        <v>14.6</v>
      </c>
      <c r="F151" s="12259" t="n">
        <v>0</v>
      </c>
      <c r="G151" s="12259" t="n">
        <v>2.8</v>
      </c>
      <c r="H151" s="12259" t="n"/>
      <c r="I151" s="12260" t="n"/>
      <c r="J151" s="12261" t="n"/>
      <c r="K151" s="12261" t="n"/>
      <c r="L151" s="12261" t="n"/>
      <c r="M151" s="12259" t="n"/>
      <c r="N151" s="12259" t="n"/>
      <c r="O151" s="12259" t="n">
        <v>8.6</v>
      </c>
      <c r="P151" s="12262" t="n">
        <v>0</v>
      </c>
      <c r="Q151" s="12259" t="n"/>
      <c r="R151" s="12259" t="n">
        <v>74</v>
      </c>
      <c r="S151" s="12259" t="n">
        <v>12.8</v>
      </c>
      <c r="T151" s="813" t="inlineStr">
        <is>
          <t>Dry and sunny, low humidity (John). 76F, 40% RH at test time; sun 5.4h of 6h daylight so far (90%), 8.6h full-day est., high 80F, 0.00in precip, UV max 6.1. Water temp 74F. Level unchanged at 12.8.</t>
        </is>
      </c>
      <c r="U151" s="12258" t="inlineStr">
        <is>
          <t>2026-09-11_1.jpg;2026-09-11_2.jpg;2026-09-11_3.jpg;2026-09-11_4.jpg;2026-09-11_5.jpg;2026-09-11_6.jpg</t>
        </is>
      </c>
      <c r="V151" s="813" t="inlineStr">
        <is>
          <t>12:15 PM. FC 14.6 (73 drops), CC 0.0, temp 74F, level 12.8. Dose row verified first (8/25 rule): last dose 9/08 19:00, nothing since -- three days undosed. Mass balance: 17.4 -&gt; 14.6 at 30,809 (level unchanged) =&gt; 2.80 ppm/24h. The starting 17.4 was REPLICATED 87/87, so this pair has the most trustworthy anchor of the week. Physics check: FC FELL with no dose, a positive loss -- physically possible, NO impossibility today. *** PREDICTION HIT. Band 14.0-16.9, actual 14.6 inside. Mean err -0.6 vs median -1.3, so the MEAN was closer; the fork opened 8/30 is back to MEDIAN 5, MEAN 5, dead level. Band record 8 of 11 (73%) against 70% design coverage, excluding the two pairs built on withheld or disproven readings. *** 🔬 SAMPLE-VOLUME EXPERIMENT -- DAY 1 (2026-09-11_6.jpg). John photographed the 25 mL fill before testing. IT IS A GOOD PHOTO FOR THE PURPOSE: the water surface reads as a flat line rather than an ellipse, so the camera was essentially level with it, and the graduations are sharp. ZOOMED 2x before reading, per the 9/06 rule. RESULT: THE WATER SURFACE SITS SLIGHTLY ABOVE THE 25 mL LINE, by about 0.4-0.55 mL (calibrated from the photo's own graduations at 47 px/mL) -- a sample of roughly 25.4-25.6 mL, reading ~1.6-2.2% HIGH, i.e. ~1-1.6 drops high at FC 14.6. Range rather than a point because the answer depends on which edge of the meniscus band is taken and on residual camera tilt. *** WHAT THIS DOES AND DOES NOT SHOW. It is ONE fill -- a BASELINE, not a test. The hypothesis is about day-to-day VARIANCE, and variance needs several days. Two useful readings already, though: (1) if this slight overfill is John's consistent habit, it is a CONSTANT ~2% high bias that CANCELS in the loss series and is harmless; (2) scale matters -- 9/09's 3-6 drop error needed a sample ~0.9-1.7 mL SHORT. If the coming photos show fills staying within about half a millilitre of the line, fill variance produces only ~1-2 drops and CANNOT on its own explain an error that size, which would point to the other two candidates (powder amount, drop size). If a photo shows a clearly low fill, fill becomes a real contributor. Not concluding anything from day 1. *** FILTER PRESSURE (2026-09-11_5.jpg): a clearer shot than yesterday; needle just above the 10 mark, inner bar scale about 0.7 bar -- ~10-11 psi, the same as 9/10 within what a photo can resolve. At or under the 12-14 psi clean baseline and far from the ~22 trigger; a dirty filter reads high. No action. *** ALL TWELVE PHOTOS OPENED per the 8/24 rule. Canister (debris/2026-09-11_1..6.jpg): LIGHT, matching John, and back to the familiar mix after yesterday's wind-driven leaf load -- pill bugs (rolled, plus a pale moulted one), TWO EARTHWORMS clearly visible in debris/2026-09-11_5.jpg, a pale larva, moss film, leaf fragments and a small brown seed or cap. A glossy brown item on the mesh in _4.jpg is NOT identified -- flagged rather than guessed, per the three misses of last week. Exterior panel moderate. *** Steps/liner (2026-09-11_2.jpg): clean, NO metal staining -- SEVENTEENTH consecutive day. After shot (2026-09-11_4.jpg) clear, surface clean. *** DOSE 0.5 gal RECOMMENDED this evening, per the calibrated model (raw 0.69). FC 14.6 is just below aim 15 after three undosed days and a 2.8 loss. 0.5 gal -&gt; ~16.5 tonight, projecting ~14.3 at next noon; even a repeat of today's 2.8 lands 13.7, well above floor 10. A smaller pour than the recent 1.0s because FC is starting from near aim rather than below it.</t>
        </is>
      </c>
      <c r="W151" s="12263" t="inlineStr">
        <is>
          <t>pillbugs+earthworms; light (John) -- pill bugs incl. one moulted, two earthworms, a larva, moss and leaf fragments</t>
        </is>
      </c>
    </row>
    <row r="152">
      <c r="A152" s="12271" t="inlineStr">
        <is>
          <t>2026-09-11</t>
        </is>
      </c>
      <c r="B152" s="12272" t="inlineStr">
        <is>
          <t>19:00</t>
        </is>
      </c>
      <c r="C152" s="12272" t="inlineStr">
        <is>
          <t>DOSE</t>
        </is>
      </c>
      <c r="D152" s="12273" t="n"/>
      <c r="E152" s="12273" t="n"/>
      <c r="F152" s="12273" t="n"/>
      <c r="G152" s="12273" t="n"/>
      <c r="H152" s="12273" t="n">
        <v>14.3</v>
      </c>
      <c r="I152" s="12274" t="n"/>
      <c r="J152" s="12275" t="n"/>
      <c r="K152" s="12275" t="n"/>
      <c r="L152" s="12275" t="n"/>
      <c r="M152" s="12273" t="n">
        <v>0.5</v>
      </c>
      <c r="N152" s="12273" t="n">
        <v>55.5</v>
      </c>
      <c r="O152" s="12273" t="n"/>
      <c r="P152" s="12276" t="n"/>
      <c r="Q152" s="12273" t="n"/>
      <c r="R152" s="12273" t="n"/>
      <c r="S152" s="12273" t="n"/>
      <c r="T152" s="827" t="n"/>
      <c r="U152" s="12272" t="n"/>
      <c r="V152" s="827" t="inlineStr">
        <is>
          <t>7:00 PM, 0.5 gal poured as recommended -- the FIRST half-gallon dose since 2026-07-05, two months ago; every pour in between was 1.0 or 1.5 gal. Season total 55.5 gal. FC after dose ~16.5; projected next noon 14.3 (mean model), 14.9 (median), band 13.1-15.9. Band computed EXCLUDING the two artifact negatives (-2.0 cleared on 9/07, -0.6 on 9/10) so the impossible values do not drag the percentiles. *** WHY THE SMALLER POUR IS RIGHT, not just what the model printed: the evening model targets aim 15 at next noon, and FC started at 14.6 -- already near aim -- after three undosed days, so the gap to close was small (raw 0.69 gal). A 1.0 gal pour would have landed ~16.2, overshooting aim by more than a 0.5 undershoots it (~14.3). The recent run of 1.0-gal doses was not a rule; each one started further below aim. Dose size follows the gap, which is exactly why the five-in-a-row three-day cadence noted 9/08 was logged as descriptive and not adopted as a schedule. *** Timing 19:00, squarely in the normal evening window. *** FIRST REAL TEST OF A SMALL DOSE ON THE RE-FITTED L24 = 2.24: tomorrow's reading scores whether a half-gallon lands where the model says, which is a slightly different question from the 1.0-gal forecasts it has been scored on since 8/29.</t>
        </is>
      </c>
      <c r="W152" s="12277" t="n"/>
    </row>
    <row r="153">
      <c r="A153" s="12243" t="inlineStr">
        <is>
          <t>2026-09-12</t>
        </is>
      </c>
      <c r="B153" s="12244" t="inlineStr">
        <is>
          <t>12:40</t>
        </is>
      </c>
      <c r="C153" s="12244" t="inlineStr">
        <is>
          <t>TEST</t>
        </is>
      </c>
      <c r="D153" s="12245" t="n"/>
      <c r="E153" s="12245" t="n">
        <v>14</v>
      </c>
      <c r="F153" s="12245" t="n">
        <v>0</v>
      </c>
      <c r="G153" s="12245" t="n">
        <v>2.6</v>
      </c>
      <c r="H153" s="12245" t="n"/>
      <c r="I153" s="12246" t="n">
        <v>-0.3</v>
      </c>
      <c r="J153" s="12247" t="n"/>
      <c r="K153" s="12247" t="n"/>
      <c r="L153" s="12247" t="n"/>
      <c r="M153" s="12245" t="n"/>
      <c r="N153" s="12245" t="n"/>
      <c r="O153" s="12245" t="n">
        <v>9.699999999999999</v>
      </c>
      <c r="P153" s="12248" t="n">
        <v>0</v>
      </c>
      <c r="Q153" s="12245" t="n"/>
      <c r="R153" s="12245" t="n">
        <v>73</v>
      </c>
      <c r="S153" s="12245" t="n">
        <v>12.4</v>
      </c>
      <c r="T153" s="624" t="inlineStr">
        <is>
          <t>Sunny, dry, nice weather with a light breeze (John); leaf skimming needed from the surface. Overcast at test time per the feed, 74F, 65% RH; sun 6.3h of 7h so far, 9.7h full-day est., high 75F, 0.00in precip, UV max 6.1. Water temp 73F. Level 12.8 -&gt; 12.4 (-79 gal, evaporation).</t>
        </is>
      </c>
      <c r="U153" s="12244" t="inlineStr">
        <is>
          <t>2026-09-12_1.jpg;2026-09-12_2.jpg;2026-09-12_3.jpg;2026-09-12_4.jpg;2026-09-12_5.jpg;2026-09-12_6.jpg;2026-09-12_7.jpg</t>
        </is>
      </c>
      <c r="V153" s="624" t="inlineStr">
        <is>
          <t>12:40 PM. FC 14.0 (70 drops), CC 0.0, temp 73F, level 12.4. Dose row verified first (8/25 rule): 0.5 gal logged 9/11 19:00. Mass balance: 14.6 @ 30,809 + 0.5 gal - 14.0 @ 30,731 =&gt; 2.59 ppm/24h. Physics check: the zero-loss ceiling was 16.60 and 14.0 is below it -- a positive loss, physically possible, NO impossibility. *** FIRST SCORED TEST OF A SMALL DOSE -- AND IT LANDED. The half-gallon was projected to give 14.3; actual 14.0, error -0.3. Band 13.1-15.9, inside. The re-fitted L24 had only been scored on 1.0-1.5 gal doses since 8/29; a small dose tests a different part of the model and it held. Mean err -0.3 vs median -0.9, so the MEAN was closer again; fork now MEDIAN 5, MEAN 6 -- the mean's first lead since the fork opened on 8/30. Band record 9 of 12 (75%) vs 70% design coverage. *** 🔬 SAMPLE-VOLUME EXPERIMENT -- DAY 2: TODAY'S PHOTOS CANNOT BE MEASURED PRECISELY, and saying so rather than forcing a number was the commitment made on 9/10. John sent TWO tube shots. ZOOMED BOTH before reading. (1) 2026-09-12_6.jpg, the close shot: the water surface shows as a DARK ELLIPSE about 1.9 mL tall in apparent height, not a thin line -- the camera was ABOVE the water level, so the surface is seen from above and the reading point is ambiguous across that whole span. What can be said: the water is AT or SOMEWHAT ABOVE the 25 mL line, consistent with day 1, but not to better than roughly +/-1 mL. (2) 2026-09-12_7.jpg, the wider shot: taken from higher still -- the tube's top rim shows as an ellipse -- and a reflection obscures the meniscus entirely. Not readable. *** THE USEFUL RESULT IS METHODOLOGICAL: camera height dominates everything. Day 1's photo was level (surface = thin line) and measured to ~0.1 mL; today's, taken from above, is ambiguous by ~2 mL -- TWENTY TIMES WORSE -- which is larger than the entire effect being hunted (9/09 needed a ~1-1.7 mL shortfall). A photo from above cannot answer the question. Having two angles of one fill makes the parallax problem visible directly. CHECK FOR FUTURE SHOTS: on the phone screen before shooting, the water surface should look like a THIN LINE; if it looks like an OVAL, lower the camera until the oval collapses. NOTE this concerns only the PHOTO -- John reads the tube at eye level for the actual test, and nothing here says today's reading was taken from above. Day 1 remains the only precise measurement; the experiment continues. *** FILTER PRESSURE (2026-09-12_5.jpg): the clearest gauge shot yet; needle just above 10 psi, inner bar scale ~0.7 bar -- ~10-11 psi, the THIRD day running at the same reading. At or under the 12-14 psi clean baseline, far from the ~22 trigger. *** ALL THIRTEEN PHOTOS OPENED per the 8/24 rule. Canister (debris/2026-09-12_1..6.jpg): LIGHT per John, and per the 8/25 rule his quantity call governs -- though note the macros show a DENSE CLUSTER of pill bugs, which is exactly the frame-filling cluster that 8/25 warned reads as more than it is. Also a small dark caterpillar, pale larvae, and MANY small brown oval items scattered through the water -- most likely seeds, not confidently identified. *** FIRST AUTUMN-COLOURED OAK LEAF: debris/2026-09-12_1.jpg and _4.jpg show a single oak leaf turned YELLOW, with serpentine LEAF-MINER TRAILS clearly visible. The oak material of 9/02-9/03 was GREEN; this is the first in the season's record that has coloured. Seasonal progression, logged as an observation only. *** Steps/liner (2026-09-12_2.jpg): clean, NO metal staining -- EIGHTEENTH consecutive day. After shot (2026-09-12_4.jpg) clear, surface skimmed clean. *** DOSE 1.0 gal RECOMMENDED this evening, per the calibrated model (raw 0.84). FC 14.0 is below aim 15 after a 2.59 loss. Undosed it lands ~11.8 tomorrow and a p90 day gives ~10.6 -- above floor but thin. 1.0 gal -&gt; ~17.8 tonight, projecting ~15.6 at next noon.</t>
        </is>
      </c>
      <c r="W153" s="12249" t="inlineStr">
        <is>
          <t>pillbugs+leaves+seeds; light (John) -- pill bugs, first yellow oak leaf with leaf-miner trails, a dark caterpillar, larvae, many small seeds</t>
        </is>
      </c>
    </row>
    <row r="154">
      <c r="A154" s="12250" t="inlineStr">
        <is>
          <t>2026-09-12</t>
        </is>
      </c>
      <c r="B154" s="12251" t="inlineStr">
        <is>
          <t>17:45</t>
        </is>
      </c>
      <c r="C154" s="12251" t="inlineStr">
        <is>
          <t>DOSE</t>
        </is>
      </c>
      <c r="D154" s="12252" t="n"/>
      <c r="E154" s="12252" t="n"/>
      <c r="F154" s="12252" t="n"/>
      <c r="G154" s="12252" t="n"/>
      <c r="H154" s="12252" t="n">
        <v>15.6</v>
      </c>
      <c r="I154" s="12253" t="n"/>
      <c r="J154" s="12254" t="n"/>
      <c r="K154" s="12254" t="n"/>
      <c r="L154" s="12254" t="n"/>
      <c r="M154" s="12252" t="n">
        <v>1</v>
      </c>
      <c r="N154" s="12252" t="n">
        <v>56.5</v>
      </c>
      <c r="O154" s="12252" t="n"/>
      <c r="P154" s="12255" t="n"/>
      <c r="Q154" s="12252" t="n"/>
      <c r="R154" s="12252" t="n"/>
      <c r="S154" s="12252" t="n"/>
      <c r="T154" s="631" t="n"/>
      <c r="U154" s="12251" t="n"/>
      <c r="V154" s="631" t="inlineStr">
        <is>
          <t>About 5:45 PM (John's 'about'), 1.0 gal poured as recommended. Season total 56.5 gal. FC after dose ~17.8, under safe-swim ~19; projected next noon 15.6 (mean model), band computed excluding the two artifact negatives. *** An earlier pour than the usual ~7 PM. Not re-litigated: the 9/05 correction stands -- the UV-burn-off concern rests on sun hours, which were tested against loss and REJECTED, and the last hour or so before a September sunset carries little UV in any case. Projection NOT adjusted. *** Back-to-back doses (0.5 gal 9/11, 1.0 gal 9/12) after the three-day rhythm of late August -- a direct consequence of dose size following the gap: last night's half-gallon was sized to land near aim, today's 2.59 loss carried FC below it again, so another pour was due. Consistent with the 9/08 note that the cadence is descriptive, not a schedule.</t>
        </is>
      </c>
      <c r="W154" s="12256" t="n"/>
    </row>
    <row r="155">
      <c r="A155" s="12257" t="inlineStr">
        <is>
          <t>2026-09-13</t>
        </is>
      </c>
      <c r="B155" s="12258" t="inlineStr">
        <is>
          <t>before 13:20</t>
        </is>
      </c>
      <c r="C155" s="12258" t="inlineStr">
        <is>
          <t>EVENT - Waste</t>
        </is>
      </c>
      <c r="D155" s="12259" t="n"/>
      <c r="E155" s="12259" t="n"/>
      <c r="F155" s="12259" t="n"/>
      <c r="G155" s="12259" t="n"/>
      <c r="H155" s="12259" t="n"/>
      <c r="I155" s="12260" t="n"/>
      <c r="J155" s="12261" t="n"/>
      <c r="K155" s="12261" t="n"/>
      <c r="L155" s="12261" t="n"/>
      <c r="M155" s="12259" t="n"/>
      <c r="N155" s="12259" t="n"/>
      <c r="O155" s="12259" t="n"/>
      <c r="P155" s="12262" t="n"/>
      <c r="Q155" s="12259" t="n"/>
      <c r="R155" s="12259" t="n"/>
      <c r="S155" s="12259" t="n"/>
      <c r="T155" s="813" t="n"/>
      <c r="U155" s="12258" t="n"/>
      <c r="V155" s="813" t="inlineStr">
        <is>
          <t>Pumped to WASTE for 9-10 minutes 'earlier today' (John; exact time not given, so recorded as 'before 13:20' rather than invented) because the storm had made the pool too full. Multiport waste port, bypassing the D.E. filter -- it is NOT a backwash and does NOT strip the DE (see the 9/01 filter entry). ESTIMATED WATER REMOVED ~475 gal (range ~285-570) = 9.5 min x ~50 GPM, the pump-to-waste rate recorded on 2026-07-06, itself flagged there as rough. *** WHY THIS ROW MATTERS FOR THE CHEMISTRY: pumped water carries chlorine out WITH it at the pool's concentration, so it is a real chlorine-mass loss that is NOT chemical demand. At ~17 ppm that is ~0.26 ppm of pool-wide chlorine (~0.27 ppm per 10 min at 50 GPM). The standard mass balance cannot see it and books it as 'loss' -- see the 9/13 TEST row. Standing practice: John drains via the filter before the level gets high, exactly as recorded on 8/03; this is that practice, not a concern.</t>
        </is>
      </c>
      <c r="W155" s="12263" t="n"/>
    </row>
    <row r="156">
      <c r="A156" s="12271" t="inlineStr">
        <is>
          <t>2026-09-13</t>
        </is>
      </c>
      <c r="B156" s="12272" t="inlineStr">
        <is>
          <t>13:20</t>
        </is>
      </c>
      <c r="C156" s="12272" t="inlineStr">
        <is>
          <t>TEST</t>
        </is>
      </c>
      <c r="D156" s="12273" t="n"/>
      <c r="E156" s="12273" t="n">
        <v>17.2</v>
      </c>
      <c r="F156" s="12273" t="n">
        <v>0.4</v>
      </c>
      <c r="G156" s="12273" t="n">
        <v>0</v>
      </c>
      <c r="H156" s="12273" t="n"/>
      <c r="I156" s="12274" t="n">
        <v>1.6</v>
      </c>
      <c r="J156" s="12275" t="n"/>
      <c r="K156" s="12275" t="n"/>
      <c r="L156" s="12275" t="n"/>
      <c r="M156" s="12273" t="n"/>
      <c r="N156" s="12273" t="n"/>
      <c r="O156" s="12273" t="n">
        <v>1</v>
      </c>
      <c r="P156" s="12276" t="n">
        <v>0.614</v>
      </c>
      <c r="Q156" s="12273" t="n"/>
      <c r="R156" s="12273" t="n">
        <v>72</v>
      </c>
      <c r="S156" s="12273" t="n">
        <v>18.5</v>
      </c>
      <c r="T156" s="827" t="inlineStr">
        <is>
          <t>HEAVY RAIN overnight into today, still storming at test time (John). 73F, 90% RH; only 0.9h sun of 11h daylight, ~1.0h full-day est., UV max 3.8. Water temp 72F -- the COOLEST of the season. FEED LOGGED 0.614in; THE RULER SAYS ~3.0-3.5in actually landed on the pool (net +6.1 cm = +1,197 gal, plus ~285-570 gal pumped out = ~1,480-1,770 gal gross over 800 sq ft). Even the NET gain alone, needing no pump assumption, is ~2.4in -- about FOUR TIMES the feed. Strongest confirmation yet of the 8/03 rule: the feed is for timing, the ruler is for amount.</t>
        </is>
      </c>
      <c r="U156" s="12272" t="inlineStr">
        <is>
          <t>2026-09-13_1.jpg;2026-09-13_2.jpg;2026-09-13_3.jpg;2026-09-13_4.jpg;2026-09-13_5.jpg;2026-09-13_6.jpg</t>
        </is>
      </c>
      <c r="V156" s="827" t="inlineStr">
        <is>
          <t>~1:20 PM (John: 'around 120pm'). FC 17.2 (86 drops), CC 0.4, temp 72F, level 18.5. Dose row verified first (8/25 rule): 1.0 gal logged 9/12 ~17:45. *** THIS ROW WAS HELD until the canister photos arrived (~4:20 PM), same as 9/06: load is a required field and the 8/24 rule forbids characterising it from pool shots alone. *** THE FC-LOSS COLUMN (0.0) IS NOT CHEMICAL DEMAND TODAY. It is the standard mass balance as the column is defined (8/29), and that formula counts ALL chlorine that left the pool -- including the chlorine that went DOWN THE DRAIN with the ~475 gal pumped to waste (see the EVENT row above). Separating the two: standard +0.05 ppm; minus chlorine pumped out ~0.26 ppm; =&gt; CHEMICAL DEMAND about -0.2 ppm (range -0.11 at 30 GPM to -0.26 at 60 GPM). Cross-check done the other way: with zero demand, rain dilution alone would have taken FC from 17.92 to ~16.99; measured 17.2, one drop higher. *** NOT AN IMPOSSIBILITY in the 9/06 or 9/10 sense, and deliberately not flagged as one: those were 2.0 and 0.6 ppm off; this is ~0.2 -- ONE DROP, the test's own resolution -- and its sign depends on an estimated pump rate. Read it as ESSENTIALLY ZERO DEMAND. It fits the day: coolest water of the season (72F), ~1 hour of sun, UV 3.8, steady rain. Not explained beyond that. *** KNOWN LIMITATION, not fixed: analyze_loss.py and check_log.py use the standard balance and cannot see water removed via waste, so this day enters the loss series at ~+0.05 instead of ~-0.2. Two waste events all season (7/06, 9/13), unknown flow rate, one-drop effect -- not worth a new field. *** PREDICTION: dose.py said 15.6 (err +1.6); median 16.2 (err +1.0), so the MEDIAN was closer and the fork opened 8/30 is back to MEDIAN 6, MEAN 6. Band 14.8-17.2 -- actual 17.2 landed EXACTLY on the upper edge; counted as a hit (bounds inclusive), record 10 of 13. Note the forecast knew nothing about 3+ inches of rain or a pump-out; it came in high because demand was near zero, which more than offset ~0.9 ppm of dilution. *** 🔬 SAMPLE-VOLUME EXPERIMENT -- DAY 3 (2026-09-13_5.jpg): A USABLE PHOTO. The surface reads as a THIN LINE, not an oval, so the camera was level -- the day-2 fix worked. ZOOMED 2x per the 9/06 rule. The water sits AT the 25 mL line or up to ~0.3-0.5 mL BELOW it (~24.5-25.0 mL); the range is because a bright reflection just under the graduation makes the exact surface ambiguous (61.8 px/mL in this photo). Comparing the two MEASURABLE fills: day 1 was ~0.4-0.55 mL ABOVE the line, day 3 at or below it -- a spread of roughly 0.5-1.0 mL. FIRST HINT OF REAL DAY-TO-DAY VARIANCE, and it is in the range that matters (at FC 17 it maps to ~1.5-3.5 drops; 9/09's error was 3-6). NOT A FINDING: two points, each uncertain by +/-0.3-0.5 mL. Needs more days. *** CC 0.4: within the season's normal range (23+ occurrences, max 0.8) and below the 0.5 action level. Rain vs CC was TESTED on 9/01 and found unrelated (r = +0.11), so the storm is NOT offered as the cause. *** FILTER PRESSURE (2026-09-13_4.jpg): ~10 psi, the same reading four days running. Clean. *** ALL ELEVEN PHOTOS OPENED per the 8/24 rule. Canister (debris/2026-09-13_1..5.jpg, pulled ~4:20 PM): visibly the heaviest in a while. COLLECTION WINDOW CORRECTED (John, same day): the robot ran 7:30 AM to about 2 PM, when its BATTERY DIED -- so ~6.5 h of active vacuuming, only ~1.5 h longer than the usual ~5 h. The canister then SAT in the pool ~2.3 h until John could pull it at 4:20 PM after the rain stopped, which is close to the normal ~1.5-2 h soak (8/10 schedule note). Claude first logged this as a '~9 h window', inferring collection time from the PULL time without knowing the robot had stopped -- pull time is not collection time. Net effect: much closer to comparable than first stated; THE STORM, not the window length, is what sets it apart. Contents: a GREEN ACORN clearly visible in three frames (_1, _3, _4) -- the second of the season after 8/31, and oak drop continuing; lobed oak leaves now brownish-green; a MILLIPEDE; a long thin reddish worm or centipede, NOT identified; pill bugs; pale grubs; a small dark beetle; and a heavy band of FINE DARK ORGANIC SEDIMENT with pale lichen-like flecks along one side -- the storm's wash-in. QUANTITY: John calls it MEDIUM (given after the row was first written), and per the 8/25 rule his in-person call governs. Given the corrected ~6.5 h window, medium here is only modestly inflated by collection time; the storm wash-in is the larger difference from an ordinary day. Exterior panel moderate. *** Before shot rain-dimpled; after shot (2026-09-13_6.jpg) clear, rain stopped, surface clean. Steps/liner (2026-09-13_2.jpg): clean, NO metal staining -- NINETEENTH consecutive day. *** NO DOSE: FC 17.2 is above aim 15 and under safe-swim ~19. Lands ~15.0-15.7 tomorrow. If more pumping to waste is needed, budget ~0.27 ppm per 10 minutes. *** pH/TA panel still due once the rain stops and the pool mixes -- last pH 8/14, last TA 8/20.</t>
        </is>
      </c>
      <c r="W156" s="12277" t="inlineStr">
        <is>
          <t>storm+leaves+pillbugs+seeds; medium (John) over ~6.5 h vacuuming + ~2.3 h soak during a storm -- acorn, millipede, grubs, heavy fine sediment</t>
        </is>
      </c>
    </row>
    <row r="157">
      <c r="A157" s="12243" t="inlineStr">
        <is>
          <t>2026-09-14</t>
        </is>
      </c>
      <c r="B157" s="12244" t="inlineStr">
        <is>
          <t>12:30</t>
        </is>
      </c>
      <c r="C157" s="12244" t="inlineStr">
        <is>
          <t>TEST</t>
        </is>
      </c>
      <c r="D157" s="12245" t="n"/>
      <c r="E157" s="12245" t="n">
        <v>13</v>
      </c>
      <c r="F157" s="12245" t="n">
        <v>0.2</v>
      </c>
      <c r="G157" s="12245" t="n">
        <v>4.2</v>
      </c>
      <c r="H157" s="12245" t="n"/>
      <c r="I157" s="12246" t="n"/>
      <c r="J157" s="12247" t="n"/>
      <c r="K157" s="12247" t="n"/>
      <c r="L157" s="12247" t="n"/>
      <c r="M157" s="12245" t="n"/>
      <c r="N157" s="12245" t="n"/>
      <c r="O157" s="12245" t="n">
        <v>10</v>
      </c>
      <c r="P157" s="12248" t="n">
        <v>0</v>
      </c>
      <c r="Q157" s="12245" t="n"/>
      <c r="R157" s="12245" t="n">
        <v>73</v>
      </c>
      <c r="S157" s="12245" t="n">
        <v>18</v>
      </c>
      <c r="T157" s="624" t="inlineStr">
        <is>
          <t>Sunny and dry but WINDY (John); lots of leaves on and in the water. 70F, 54% RH at test time; sun 4.0h of 6h so far, 10.0h full-day est., high 72F, 0.00in precip, UV max 6.0. Water temp 73F. Level 18.5 -&gt; 18.0 (-98 gal).</t>
        </is>
      </c>
      <c r="U157" s="12244" t="inlineStr">
        <is>
          <t>2026-09-14_1.jpg;2026-09-14_2.jpg;2026-09-14_3.jpg;2026-09-14_4.jpg;2026-09-14_5.jpg;2026-09-14_6.jpg;2026-09-14_7.jpg</t>
        </is>
      </c>
      <c r="V157" s="624" t="inlineStr">
        <is>
          <t>12:30 PM. *** FC 13.0 (65 drops) IS THE VALUE OF RECORD -- a sure heaping scoop of DPD powder. John ALWAYS uses more powder than needed (9/15); test 1 was the ONE reading all season he was unsure about, which is WHY he ran test 2. CAUSE OF TEST 1 CONFIRMED (John, 9/15): the scoop was WET from adding the liquid reagent, and he would not put a wet spoon into the DPD powder -- correct, since moisture degrades the whole container -- so he SPRINKLED THE POWDER BY HAND and did not measure accurately. Insufficient powder -&gt; read LOW. A KNOWN under-dose reading 8 drops (1.6 ppm) low at FC 13: a measured example of the one-directional effect. The only such aberration all season. John ran TWO tests on the same water: TEST 1 = 57 drops (11.4), which looked too low, so he repeated it doing 'the same exact thing' -&gt; TEST 2 = 65 drops (13.0). An 8-DROP SPREAD, 1.6 ppm -- far outside his normal repeatability (87/87 on 9/10, 58/57 on 7/19). Dose rows verified (8/25 rule): last dose 9/12 ~17:45, nothing since. *** 🔬 THIS IS THE PAIRED TEST THE SAMPLE-VOLUME EXPERIMENT WAS BUILT FOR, AND IT RULES VOLUME OUT. John photographed BOTH fills (2026-09-14_6.jpg = test 1, _7.jpg = test 2) and flagged the order. BOTH ZOOMED 2x per the 9/06 rule. Test 1: water surface a thin line lying ON the 25 mL graduation. Test 2: the camera was ROTATED (graduations and water surface slope together at the same angle, which means the tube stood upright and only the phone tilted -- the water surface is always level with gravity), and the surface again sits AT the 25 mL line. Both fills ~25 mL, within roughly half a millilitre. An 8-drop gap would need a 3.1 mL difference in fill -- more than half a 5 mL graduation, putting one tube near 22 or 28 -- which is plainly absent. FILL VOLUME CANNOT EXPLAIN IT; at most ~1-2 of the 8 drops. *** WHAT DOES EXPLAIN IT -- JOHN'S OWN OBSERVATION: 'i made SURE the second time there was enough DPD powder.' That points directly at the powder, and the chemistry is one-directional: DPD is the indicator, and if there is not enough of it, part of the chlorine never develops colour, so fewer FAS drops are needed to clear -- INSUFFICIENT DPD READS LOW, NEVER HIGH, and EXCESS DPD IS HARMLESS. The test with deliberately ample powder read 8 drops HIGHER: exactly the predicted direction. This is the candidate POOL.md listed on 9/10 ('a light scoop of powder -- the 8/20 near-empty-container effect'), now with DIRECT evidence and volume eliminated. It likely matters more here than in a typical pool because this pool runs FC 12-18 (CYA 148): more chlorine needs more DPD to be fully captured, so a scoop that would be ample at FC 3 can be marginal at FC 17. *** [CORRECTED 9/15 -- OVERCLAIM WITHDRAWN.] This row first said powder amount 'fits all three recent low readings... one mechanism.' WRONG: it rested on an unchecked assumption that John's scoop size varied, and it does not -- he always uses more than needed. Powder quantity explains AT MOST this day's test 1. It does NOT explain 9/09 (cause now UNEXPLAINED), and 9/06 has its own explanation (degraded near-empty old powder, a QUALITY effect, plus the whole-ten miscount). See POOL.md 9/14. *** NOTE test 2 could still be slightly LOW if even that powder was marginal; it is the BEST available reading, not a guaranteed-true one. *** LOSS: 17.2 -&gt; 13.0 at 31,879 avg =&gt; 4.25 ppm/24h, well above the last-20 p90 (~3.4). But the TWO-DAY view is the clean one: from 9/12's 14.0 plus the 1.0 gal dose, net of the ~475 gal pumped to waste, to today's 13.0 is 4.12 ppm over two days = 2.06/day -- right on the season mean 2.24. Yesterday's near-zero (-0.2) and today's high (4.25) average to an ORDINARY two days. Whether the storm's organics were consumed a day late or the split is measurement noise, the two-day total is normal; no story is picked. *** PREDICTION MISSED LOW. Stated yesterday: ~15.0-15.7. Actual 13.0. The standard p20-p90 band from 17.2 would have been ~13.8-16.7, also missed, by 0.8. Mean err -2.0 vs median -2.7, so the MEAN was closer; fork now MEDIAN 6, MEAN 7. Band record 10 of 14 (71%) vs 70% design. *** FILTER (2026-09-14_5.jpg): ~10-11 psi, fifth day at the same reading. Clean. *** ALL TWELVE PHOTOS OPENED per the 8/24 rule. Canister (debris/2026-09-14_1..5.jpg): DOMINATED BY WHOLE OAK LEAVES -- more than any day this season -- and SEVERAL NOW TURNING YELLOW with brown spotting, one fully brown. Autumn colour is accelerating: green 9/02 -&gt; one yellow 9/12 -&gt; several today. Also a DENSE CLUSTER OF PILL BUGS (dozens; debris/2026-09-14_4.jpg), a large black beetle, a spiny holly-type leaf, a pine needle, and a translucent shed skin -- most likely a moulted pill-bug exoskeleton, consistent with the moult sightings of 9/07-9/08. John calls it MEDIUM-TO-HEAVY; per the 8/25 rule his in-person call governs. Exterior panel moderate. *** Before shot shows floating leaves (the wind); after shot (2026-09-14_4.jpg) clear with a clean surface -- the 9/02 skim rule working. Steps/liner (2026-09-14_2.jpg): clean, NO metal staining -- TWENTIETH consecutive day. *** DOSE 1.0 gal RECOMMENDED -- and it is ROBUST TO WHICH TEST IS RIGHT, checked deliberately. If 13.0: tonight 16.8 -&gt; ~14.6 tomorrow (12.6 on a repeat of today's 4.25). If 11.4: tonight 15.2 -&gt; ~13.0 (11.0 on a repeat). Every case stays above floor 10, so the ambiguity does not force the decision. *** pH/TA panel STILL DUE -- last pH 8/14, last TA 8/20; the rain has stopped.</t>
        </is>
      </c>
      <c r="W157" s="12249" t="inlineStr">
        <is>
          <t>leaves+pillbugs+insects; medium-to-heavy (John) -- dominated by whole oak leaves, several turning yellow; dense pill-bug cluster, large beetle</t>
        </is>
      </c>
    </row>
    <row r="158">
      <c r="A158" s="12250" t="inlineStr">
        <is>
          <t>2026-09-14</t>
        </is>
      </c>
      <c r="B158" s="12251" t="inlineStr">
        <is>
          <t>19:00</t>
        </is>
      </c>
      <c r="C158" s="12251" t="inlineStr">
        <is>
          <t>DOSE</t>
        </is>
      </c>
      <c r="D158" s="12252" t="n"/>
      <c r="E158" s="12252" t="n"/>
      <c r="F158" s="12252" t="n"/>
      <c r="G158" s="12252" t="n"/>
      <c r="H158" s="12252" t="n">
        <v>14.6</v>
      </c>
      <c r="I158" s="12253" t="n"/>
      <c r="J158" s="12254" t="n"/>
      <c r="K158" s="12254" t="n"/>
      <c r="L158" s="12254" t="n"/>
      <c r="M158" s="12252" t="n">
        <v>1</v>
      </c>
      <c r="N158" s="12252" t="n">
        <v>57.5</v>
      </c>
      <c r="O158" s="12252" t="n"/>
      <c r="P158" s="12255" t="n"/>
      <c r="Q158" s="12252" t="n"/>
      <c r="R158" s="12252" t="n"/>
      <c r="S158" s="12252" t="n"/>
      <c r="T158" s="631" t="n"/>
      <c r="U158" s="12251" t="n"/>
      <c r="V158" s="631" t="inlineStr">
        <is>
          <t>7:00 PM, 1.0 gal poured as recommended -- normal evening timing. Season total 57.5 gal. FC after dose ~16.8 on the test-2 reading of 13.0, which is the value of record (the ample-powder test; see the 9/14 TEST row). Projected next noon 14.6 (mean model); band computed excluding the two artifact negatives. *** This dose was chosen to be ROBUST TO WHICH OF TODAY'S TWO TESTS WAS RIGHT: if the true FC was 11.4 (test 1) instead, tonight lands ~15.2 and tomorrow ~13.0 -- still well above floor 10 even on a repeat of today's 4.25 loss. So tomorrow's reading scores the dose under the working assumption that 13.0 was correct; a reading well BELOW the band would be the first sign that test 1 was closer to the truth. *** TOMORROW IS THE FIRST TEST UNDER THE NEW GENEROUS-SCOOP PRACTICE (POOL.md 9/14). If the powder explanation is right, readings should stop coming in low and the loss series should get less jumpy; a continued run of low, impossible, or wildly spread readings WITH ample powder would weaken it.</t>
        </is>
      </c>
      <c r="W158" s="12256" t="n"/>
    </row>
    <row r="159">
      <c r="A159" s="12257" t="inlineStr">
        <is>
          <t>2026-09-15</t>
        </is>
      </c>
      <c r="B159" s="12258" t="inlineStr">
        <is>
          <t>12:45</t>
        </is>
      </c>
      <c r="C159" s="12258" t="inlineStr">
        <is>
          <t>TEST</t>
        </is>
      </c>
      <c r="D159" s="12259" t="n"/>
      <c r="E159" s="12259" t="n">
        <v>15</v>
      </c>
      <c r="F159" s="12259" t="n">
        <v>0.2</v>
      </c>
      <c r="G159" s="12259" t="n">
        <v>1.8</v>
      </c>
      <c r="H159" s="12259" t="n"/>
      <c r="I159" s="12260" t="n">
        <v>0.4</v>
      </c>
      <c r="J159" s="12261" t="n"/>
      <c r="K159" s="12261" t="n"/>
      <c r="L159" s="12261" t="n"/>
      <c r="M159" s="12259" t="n"/>
      <c r="N159" s="12259" t="n"/>
      <c r="O159" s="12259" t="n">
        <v>11</v>
      </c>
      <c r="P159" s="12262" t="n">
        <v>0</v>
      </c>
      <c r="Q159" s="12259" t="n"/>
      <c r="R159" s="12259" t="n">
        <v>71</v>
      </c>
      <c r="S159" s="12259" t="n">
        <v>17.4</v>
      </c>
      <c r="T159" s="813" t="inlineStr">
        <is>
          <t>Sunny, cool and dry; VERY cool overnight (John). 68F air, 51% RH at test time; sun 6.3h of 7h so far, 11.0h full-day est., high only 68F, 0.00in precip, UV max 6.0. WATER TEMP 71F -- the coolest of the season, down 6F from the late-August plateau of 77. Level 18.0 -&gt; 17.4 (-118 gal).</t>
        </is>
      </c>
      <c r="U159" s="12258" t="inlineStr">
        <is>
          <t>2026-09-15_1.jpg;2026-09-15_2.jpg;2026-09-15_3.jpg;2026-09-15_4.jpg;2026-09-15_5.jpg;2026-09-15_6.jpg</t>
        </is>
      </c>
      <c r="V159" s="813" t="inlineStr">
        <is>
          <t>12:45 PM. FC 15.0 (75 drops), CC 0.2, temp 71F, level 17.4. Dose row verified first (8/25 rule): 1.0 gal logged 9/14 19:00. Mass balance: 13.0 @ 31,830 + 1.0 gal - 15.0 @ 31,712 =&gt; 1.84 ppm/24h -- an ordinary day, just above the last-20 median. *** YESTERDAY'S TIE IS BROKEN IN FAVOUR OF TEST 2 -- and by a forward prediction, not a re-argument. The 9/14 dose was sized on the 13.0 reading. If 13.0 was right, the model projected 14.6 today; if 11.4 (test 1) had been right it would have projected 13.0. ACTUAL 15.0: the 13.0 hypothesis missed by +0.4, the 11.4 hypothesis would have missed by +2.0. Under 11.4 the implied loss today would be just 0.24 -- possible (sub-0.5 days run ~7%) but a stretch, whereas 13.0 gives a textbook 1.84. Strong support for test 2, and therefore for the powder explanation that picked it; NOT proof, since a genuine low-loss day could also produce this. *** POWDER: heaping scoop used (John), as ALWAYS -- he confirmed on 9/15 that every reading all season has had more powder than needed, the sole uncertain one being 9/14 test 1. Claude had called this 'the first test since the generous-scoop rule' and then 'the second confirmed heaping scoop'; both framings were wrong, because there was never a rule change. What stands: 9/14 test 2 and today are two readings John was sure of, and they agree through a dose to within 0.4. *** PREDICTION HIT. dose.py said 14.6 (err +0.4); median said 15.2 (err -0.2), so the MEDIAN was closer and the fork opened 8/30 is back to MEDIAN 7, MEAN 7 -- dead level again after swinging 4-1, 4-4, 5-5, 5-6, 6-6, 6-7. The textbook picture of two estimators whose difference is inside the noise. Band 13.4-16.2, inside; band record 11 of 15 (73%) vs 70% design. *** SAMPLE-VOLUME PHOTO (2026-09-15_6.jpg): the camera is rotated again (graduations and surface slope together, so the tube stood upright), and the water sits AT the 25 mL line. Consistent with every measurable fill so far. The question the photos existed to answer was settled 9/14; this just confirms the fill stays consistent. *** FILTER (2026-09-15_5.jpg): ~10-11 psi, the SIXTH day running at the same reading. Clean. *** ALL TWELVE PHOTOS OPENED per the 8/24 rule. Canister (debris/2026-09-15_1..6.jpg): LIGHT, matching John. Grey pill bugs (rolled), an oak leaf, a large dark beetle, organic litter, and SEVERAL ORANGE-TAN OVAL SEGMENTED ITEMS with an isopod-like back pattern (clearest in debris/2026-09-15_5.jpg) -- most consistent with SHED PILL-BUG SKINS or orange-toned isopods, given the moult sightings of 9/07, 9/08 and 9/14. Also LONG THIN BLACK JOINTED LEGS in the same frame, most consistent with a HARVESTMAN (daddy longlegs). BOTH flagged as uncertain rather than asserted, deliberately erring toward the base-rate explanation after three wrong macro IDs in one week (POOL.md 9/06, 9/07). Exterior panel moderate. *** Before shot clear; after shot (2026-09-15_4.jpg) clear with a clean surface. Steps/liner (2026-09-15_2.jpg): clean, NO metal staining -- TWENTY-FIRST consecutive day, three full weeks. *** DOSE 0.5 gal RECOMMENDED per the calibrated model (raw 0.58). FC 15.0 is at aim; 0.5 gal -&gt; ~16.9 tonight, projecting ~14.7 at next noon (band 13.5-16.3). Undosed would also be safe (~12.8, band 11.6-14.3, above floor 10), but the half-gallon holds FC at aim rather than letting it drift below. *** pH/TA panel STILL DUE -- last pH 8/14, last TA 8/20.</t>
        </is>
      </c>
      <c r="W159" s="12263" t="inlineStr">
        <is>
          <t>pillbugs+insects; light (John) -- grey and orange isopods (likely moult skins), oak leaf, large beetle, probable harvestman</t>
        </is>
      </c>
    </row>
    <row r="160">
      <c r="A160" s="12271" t="inlineStr">
        <is>
          <t>2026-09-15</t>
        </is>
      </c>
      <c r="B160" s="12272" t="inlineStr">
        <is>
          <t>19:10</t>
        </is>
      </c>
      <c r="C160" s="12272" t="inlineStr">
        <is>
          <t>DOSE</t>
        </is>
      </c>
      <c r="D160" s="12273" t="n"/>
      <c r="E160" s="12273" t="n"/>
      <c r="F160" s="12273" t="n"/>
      <c r="G160" s="12273" t="n"/>
      <c r="H160" s="12273" t="n">
        <v>14.7</v>
      </c>
      <c r="I160" s="12274" t="n"/>
      <c r="J160" s="12275" t="n"/>
      <c r="K160" s="12275" t="n"/>
      <c r="L160" s="12275" t="n"/>
      <c r="M160" s="12273" t="n">
        <v>0.5</v>
      </c>
      <c r="N160" s="12273" t="n">
        <v>58</v>
      </c>
      <c r="O160" s="12273" t="n"/>
      <c r="P160" s="12276" t="n"/>
      <c r="Q160" s="12273" t="n"/>
      <c r="R160" s="12273" t="n"/>
      <c r="S160" s="12273" t="n"/>
      <c r="T160" s="827" t="n"/>
      <c r="U160" s="12272" t="n"/>
      <c r="V160" s="827" t="inlineStr">
        <is>
          <t>7:10 PM, 0.5 gal poured as recommended -- normal evening timing. Season total 58.0 gal. FC after dose ~16.9 (15.0 at 31,712 gal plus 0.5 gal = +1.90 ppm). Projected next noon 14.7 (mean model, dose.py l24 2.24); the median model says 15.1. Band 13.5-16.2 (last-20 p20-p90, excluding the two artifact negatives 8/20 and 9/10), recomputed at pour time -- the noon row's upper edge of 16.3 differs by rounding only. *** Tomorrow scores the mean-vs-median fork, currently tied MEDIAN 7, MEAN 7: a reading below ~14.9 favours the mean, above it the median. *** Back-to-back doses again (1.0 gal 9/14, 0.5 gal 9/15), sized to the gap as always; the cadence is descriptive, not a schedule (9/08 note).</t>
        </is>
      </c>
      <c r="W160" s="12277" t="n"/>
    </row>
    <row r="161">
      <c r="A161" s="12285" t="inlineStr">
        <is>
          <t>2026-09-16</t>
        </is>
      </c>
      <c r="B161" s="12286" t="inlineStr">
        <is>
          <t>12:45</t>
        </is>
      </c>
      <c r="C161" s="12286" t="inlineStr">
        <is>
          <t>TEST</t>
        </is>
      </c>
      <c r="D161" s="12287" t="n"/>
      <c r="E161" s="12287" t="n">
        <v>15.6</v>
      </c>
      <c r="F161" s="12287" t="n">
        <v>0.2</v>
      </c>
      <c r="G161" s="12287" t="n">
        <v>1.4</v>
      </c>
      <c r="H161" s="12287" t="n"/>
      <c r="I161" s="12288" t="n">
        <v>0.9</v>
      </c>
      <c r="J161" s="12289" t="n"/>
      <c r="K161" s="12289" t="n"/>
      <c r="L161" s="12289" t="n"/>
      <c r="M161" s="12287" t="n"/>
      <c r="N161" s="12287" t="n"/>
      <c r="O161" s="12287" t="n">
        <v>9</v>
      </c>
      <c r="P161" s="12290" t="n">
        <v>0</v>
      </c>
      <c r="Q161" s="12287" t="n"/>
      <c r="R161" s="12287" t="n">
        <v>71</v>
      </c>
      <c r="S161" s="12287" t="n">
        <v>16.6</v>
      </c>
      <c r="T161" s="1047" t="inlineStr">
        <is>
          <t>Sunny and dry at test time (John); overcast by the ~4 PM canister pull. Feed: sun 9.1h of 10h daylight through 4 PM (91%), then overcast -- ~9h full day; high 75F, overnight low 54F, 0.00in precip, UV max 6.1. Test-time air temp/RH NOT captured (the feed read 75F, 63% RH at 4 PM). Water temp 71F, tying yesterday as the coolest of the season. Level 17.4 -&gt; 16.6 (-157 gal).</t>
        </is>
      </c>
      <c r="U161" s="12286" t="inlineStr">
        <is>
          <t>2026-09-16_1.jpg;2026-09-16_2.jpg;2026-09-16_3.jpg;2026-09-16_4.jpg;2026-09-16_5.jpg;2026-09-16_6.jpg;2026-09-16_7.jpg</t>
        </is>
      </c>
      <c r="V161" s="1047" t="inlineStr">
        <is>
          <t>~12:45 PM (John: 'around 1245pm'). FC 15.6 (78 drops), CC 0.2, temp 71F, level 16.6. Dose row verified first (8/25 rule): 0.5 gal logged 9/15 19:10. Mass balance: 15.0 @ 31,712 + 0.5 gal - 15.6 @ 31,555 =&gt; 1.38 ppm/24h -- an ordinary day, below the last-20 median. *** THIS ROW WAS HELD until the canister photos arrived (~4 PM), same as 9/06 and 9/13: load is a required field and the 8/24 rule forbids characterising it from pool shots alone. *** LEVEL -0.8 cm (-157 gal), the biggest daily drop of the week (-0.5, -0.6, -0.8) as the nights cooled (54F overnight over 71F water) -- evaporation. No pump-out or backwash was reported. Not a concern. *** PREDICTION: dose.py said 14.7 (err +0.9); median 15.1 (err +0.5), so the MEDIAN was closer and the fork opened 8/30 is now MEDIAN 8, MEAN 7. Band 13.5-16.2, inside; band record 12 of 16 (75%) vs 70% design. *** 🎂 MOM'S HEAVENLY 80TH BIRTHDAY. John added a photo of his mom and asked for a front-page tribute: 'Happy heavenly 80th birthday, Mom!' It is live as the dashboard hero feature (build_site.py HERO_FEATURE, image features/2026-09-16_mom.png). It is NOT a pool photo, so it is kept out of photos/ and this row. *** ALL THIRTEEN PHOTOS OPENED per the 8/24 rule (seven pool, five canister, plus Mom's). BEFORE (2026-09-16_1.jpg): clear, bright sun. ZOOMED 2x per the 9/06 rule: a small dark animal floating mid-pool with limbs extended. Claude called it most consistent with a small frog but left it unidentified; JOHN CONFIRMED (same day): it WAS A FROG, and he SKIMMED IT OUT -- which is why it was not in the canister. Second frog skimmed out this month; the first was 9/04. AFTER (2026-09-16_7.jpg, ~4 PM, overcast): clear, clean surface, robot out on the deck -- the daily skim (9/02 rule). _5 is a second wide pool shot from the test visit, also clear. Steps/liner (_2): clean, NO metal staining -- TWENTY-SECOND consecutive day. FILTER (_4): ~10-11 psi, the SEVENTH day running at the same reading. SAMPLE-VOLUME PHOTO (_6), zoomed: the water sits AT the 25 mL line, as on every measurable day. *** CANISTER (debris/2026-09-16_1..5.jpg): LIGHT per John, whose in-person call governs (8/25 rule); most of the tray floor is bare and the coarse material sits in ONE CORNER. That corner holds a DENSE PILL-BUG CLUSTER (dozens, grey striped, mostly rolled) including one orange-brown curled isopod like 9/15's; pale segmented and pale oval items (most likely moult skins or freshly moulted isopods, uncertain); and a reddish-brown narrow-waisted insect, PROBABLY AN ANT. The tray floor (debris/_3, zoomed) holds a large dark beetle, a smaller golden-brown insect, and MANY SMALL GLOSSY BROWN ELONGATED GRAINS -- most consistent with SEEDS, NOT confirmed. Also a slender reddish-brown sliver (likely plant material), a small green curled fragment (leaf, or possibly a small caterpillar -- not identified), and a tiny blue fragment (not identified). Exterior panel (_5): moderate fine particulate. Uncertain items are flagged rather than asserted, per the 9/06-9/07 identification rule. *** NO DOSE TONIGHT -- JOHN'S CALL, and the start of the WHOLE-BOTTLE PREFERENCE (POOL.md 9/16; dose.py now rounds to whole gallons when safe). dose.py independently says SKIP: raw 0.43 -&gt; nearest whole gallon 0; FC stays 15.6, under the ceiling of 19; next noon on a bad (4.5 ppm) day ~11.1, above floor 10. The superseded half-gallon rule would have said 0.5 (-&gt; ~15.3). *** NO DOSE ROW, SO TOMORROW'S PREDICTION LIVES HERE: 9/17 noon ~13.4 (mean model, l24 2.24); median model 14.0; band 12.6-14.9 (last-20 p20-p90 including today, excluding the 8/20 and 9/10 artifacts). Score 9/17 against these. *** pH/TA panel STILL DUE -- last pH 8/14, last TA 8/20.</t>
        </is>
      </c>
      <c r="W161" s="12291" t="inlineStr">
        <is>
          <t>pillbugs+insects+frogs; light (John) -- frog skimmed out (John); dense pill-bug cluster in one corner, probable ant, beetles; many small brown grains (probably seeds, unconfirmed)</t>
        </is>
      </c>
    </row>
    <row r="162">
      <c r="A162" s="12257" t="inlineStr">
        <is>
          <t>2026-09-17</t>
        </is>
      </c>
      <c r="B162" s="12258" t="inlineStr">
        <is>
          <t>12:45</t>
        </is>
      </c>
      <c r="C162" s="12258" t="inlineStr">
        <is>
          <t>TEST</t>
        </is>
      </c>
      <c r="D162" s="12259" t="n"/>
      <c r="E162" s="12259" t="n">
        <v>15</v>
      </c>
      <c r="F162" s="12259" t="n">
        <v>0.2</v>
      </c>
      <c r="G162" s="12259" t="n">
        <v>0.7</v>
      </c>
      <c r="H162" s="12259" t="n"/>
      <c r="I162" s="12260" t="n"/>
      <c r="J162" s="12261" t="n"/>
      <c r="K162" s="12261" t="n"/>
      <c r="L162" s="12261" t="n"/>
      <c r="M162" s="12259" t="n"/>
      <c r="N162" s="12259" t="n"/>
      <c r="O162" s="12259" t="n">
        <v>7</v>
      </c>
      <c r="P162" s="12262" t="n">
        <v>0</v>
      </c>
      <c r="Q162" s="12259" t="n"/>
      <c r="R162" s="12259" t="n">
        <v>71</v>
      </c>
      <c r="S162" s="12259" t="n">
        <v>15.8</v>
      </c>
      <c r="T162" s="813" t="inlineStr">
        <is>
          <t>Cloudy morning, clearing to sun by the test (before shot soft and overcast, after shot in full sun). Feed at 1 PM: mainly clear, 76F, 80% RH -- humid; sun 3.0h of 7h daylight so far (43%, morning cloud ~84%), ~6.8h full-day est.; high 79F, 0.00in precip, UV max 6.0. Water temp 71F, the third day at the season low. Level 16.6 -&gt; 15.8 (-157 gal).</t>
        </is>
      </c>
      <c r="U162" s="12258" t="inlineStr">
        <is>
          <t>2026-09-17_1.jpg;2026-09-17_2.jpg;2026-09-17_3.jpg;2026-09-17_4.jpg;2026-09-17_5.jpg;2026-09-17_6.jpg</t>
        </is>
      </c>
      <c r="V162" s="813" t="inlineStr">
        <is>
          <t>12:45 PM. FC 15.0 (75 drops), CC 0.2, temp 71F, level 15.8. Dose rows verified first (8/25 rule): the last dose is 0.5 gal on 9/15 19:10; NOTHING on 9/16 (John's skip, whole-bottle preference), so this interval is UNDOSED. Mass balance: 15.6 @ 31,555 - 15.0 @ 31,398 =&gt; 0.68 ppm/24h -- a LOW-demand day, about the 20th percentile of the last 20 and roughly 1 day in 6 all season. Conservation of mass holds (FC fell, with no dose), so nothing about the reading is impossible. *** JOHN FOUND 15.0 'HIGHER THAN I EXPECTED' -- and it was above the forecast. PREDICTION MISSED HIGH, BY A HAIR. Stated in the 9/16 row (no DOSE row that night): mean model 13.4 (err +1.6); median model 14.0 (err +1.0); band 12.6-14.9 -- actual 15.0 is 0.1 above the upper edge, counted as a MISS. Band record 12 of 17 (71%) vs 70% design. The MEDIAN was closer again: fork now MEDIAN 9, MEAN 7 (16 scored; the rule is to revisit at n&gt;=20). The mean model's l24 of 2.24 is the full-season mean; the last 20 have run lower (mean 1.72, median 1.60). Per the 8/29 rule l24 is NOT re-tuned off a recent window. *** CARCASSES: John removed THREE DEAD ANIMALS -- a MOUSE, a FROG and a SMALL OPOSSUM -- all floating on the surface this morning (his words: 'a dead mouse, frog, and small opossum floating on the top of the water'; later the same day he referred to all three as 'the dead animals'). The opossum is the largest animal found in the pool all season, and the first mammal bigger than a mouse. SEASON TALLY OF DEAD ANIMALS: mouse 7/28 (loss 4.4, it had sat in the water), small toad/frog 8/05, mouse 8/25 (pulled promptly, loss 1.4), and today's three (loss 0.7). Only 7/28 coincided with a spike, which fits the 8/25 idea that TIME IN THE WATER matters more than the animal -- but n=3 and residence times are rough, so it stays a hypothesis. How long they were in the water is unknown. They fall inside this row's window, yet demand came in LOW (0.68), not high -- consistent with the 8/12-13 finding that load class does not predict loss, and a reminder of the 8/25 lesson not to forecast a spike from a visible load. CC stayed at 0.2 and FC never left the band, so there is no sign of a chlorine demand that would call for extra treatment. Third frog this month (9/04, 9/16, 9/17). *** 🎂 The 9/16 front-page birthday tribute for John's mom retired automatically with this row, as designed (HERO_FEATURE shows on its own date or while the latest test is from it). *** ALL TWELVE PHOTOS OPENED per the 8/24 rule. BEFORE (2026-09-17_1.jpg): clear water, soft overcast light; the dark object lower right is THE VACUUM (John, stated up front). AFTER (_5): clear, clean surface, full sun. Steps/liner (_2): clean, NO metal staining -- TWENTY-THIRD consecutive day. FILTER (_4), ZOOMED: the needle sits about two minor ticks above 10, ~12 psi. This is the clearest, most head-on gauge shot of the week; the earlier '~10-11' readings came from angled shots, so this is NOT evidence of a rise. ~12 is inside the 12-14 clean baseline, and backwash is ~22. SAMPLE-VOLUME PHOTO (_6), ZOOMED: the water sits AT the 25 mL line, at most ~0.3 mL above it (about 1%, under one drop at FC 15), so fill volume does not explain the higher-than-expected reading. *** CANISTER (debris/2026-09-17_1..6.jpg): LIGHT per John, whose in-person call governs (8/25 rule); the tray floor is mostly bare, and the coarse material sits in ONE CORNER again. There: a DENSE PILL-BUG CLUSTER (dozens, grey striped); a pale cream-and-rust striped rolled isopod (debris/_2, _5), like 9/15-9/16's pale ones; a tan segmented grub; a grey translucent folded item (possibly a shed skin, not identified); small pale ring-shaped items (NOT identified -- deliberately not called snails, after the 8/31 acorn); and, ZOOMED (debris/_5), a spider with REDDISH legs and front body and a PALE BEIGE abdomen -- most consistent with a WOODLOUSE SPIDER, a pill-bug predator that lives where they do, but NOT confirmed. Also a pinkish-red flaky patch on the mesh (debris/_4, zoomed; petal fragments or a crushed red insect are both possible, NOT identified), a tiny pale curled larva, and many translucent flakes on the tray. A heavy fine organic mat lines one side panel; exterior panel (_6) moderate fine particulate, like yesterday. Uncertain items are flagged rather than asserted, per the 9/06-9/07 identification rule. *** DOSE 1.0 GAL RECOMMENDED -- a WHOLE BOTTLE, per the 9/16 rule. dose.py: raw 0.58 -&gt; nearest whole gallon 1. FC right after the pour ~18.8, under the ceiling of 19; next noon on a bad (4.5 ppm) day ~14.3, above floor 10. Projection for 9/18 noon: mean model 16.6, median model 17.2, band 15.8-18.2 (last-20 p20-p90 including today, excluding the 8/20 and 9/10 artifacts). Skipping would also pass the safety check, but only just (bad day ~10.5) and would land ~12.8, so 1.0 is the pick. *** pH/TA panel STILL DUE -- last pH 8/14, last TA 8/20.</t>
        </is>
      </c>
      <c r="W162" s="12263" t="inlineStr">
        <is>
          <t>carcass+frogs+pillbugs+insects; light sediment (John) -- three dead animals -- a mouse, a frog and a small opossum -- removed from the surface this morning (John); canister: pill-bug cluster, probable woodlouse spider</t>
        </is>
      </c>
    </row>
    <row r="163">
      <c r="A163" s="12271" t="inlineStr">
        <is>
          <t>2026-09-17</t>
        </is>
      </c>
      <c r="B163" s="12272" t="inlineStr">
        <is>
          <t>18:20</t>
        </is>
      </c>
      <c r="C163" s="12272" t="inlineStr">
        <is>
          <t>DOSE</t>
        </is>
      </c>
      <c r="D163" s="12273" t="n"/>
      <c r="E163" s="12273" t="n"/>
      <c r="F163" s="12273" t="n"/>
      <c r="G163" s="12273" t="n"/>
      <c r="H163" s="12273" t="n">
        <v>16.6</v>
      </c>
      <c r="I163" s="12274" t="n"/>
      <c r="J163" s="12275" t="n"/>
      <c r="K163" s="12275" t="n"/>
      <c r="L163" s="12275" t="n"/>
      <c r="M163" s="12273" t="n">
        <v>1</v>
      </c>
      <c r="N163" s="12273" t="n">
        <v>59</v>
      </c>
      <c r="O163" s="12273" t="n"/>
      <c r="P163" s="12276" t="n"/>
      <c r="Q163" s="12273" t="n"/>
      <c r="R163" s="12273" t="n"/>
      <c r="S163" s="12273" t="n"/>
      <c r="T163" s="827" t="n"/>
      <c r="U163" s="12272" t="n"/>
      <c r="V163" s="827" t="inlineStr">
        <is>
          <t>6:20 PM, 1.0 gal poured as recommended -- a WHOLE BOTTLE, the first dose under the 9/16 rule, and a little earlier than the usual ~7 PM (not adjusted for; the 9/05 correction stands -- sun hours were tested against loss and rejected). Season total 59.0 gal. FC after dose ~18.8 (15.0 at 31,398 gal plus 1.0 gal = +3.84 ppm), just under the safe-swim ceiling of 19 -- the ceiling check in dose.py choose_dose() is what held this to one gallon rather than allowing more. Projected next noon 16.6 (mean model, l24 2.24); median model 17.2; band 15.8-18.2 (last-20 p20-p90, excluding the 8/20 and 9/10 artifacts). Even on a bad 4.5 ppm day it lands ~14.3, well above floor 10. *** Tomorrow scores the mean-vs-median fork, currently MEDIAN 9, MEAN 7: a reading below ~16.9 favours the mean, above it the median. *** RECENT DEMAND HAS RUN LOW (last-20 mean 1.72, median 1.60; today 0.68), so the top of the band is the live risk, not the bottom: on a near-zero-demand day like 9/13 it would land ~18.8, still under 19. *** This is also the first noon-to-noon window since the three dead animals were removed (9/17 morning); nothing is predicted from that, per the 8/25 rule.</t>
        </is>
      </c>
      <c r="W163" s="12277" t="n"/>
    </row>
    <row r="164">
      <c r="A164" s="12285" t="inlineStr">
        <is>
          <t>2026-09-18</t>
        </is>
      </c>
      <c r="B164" s="12286" t="inlineStr">
        <is>
          <t>12:45</t>
        </is>
      </c>
      <c r="C164" s="12286" t="inlineStr">
        <is>
          <t>TEST</t>
        </is>
      </c>
      <c r="D164" s="12287" t="n"/>
      <c r="E164" s="12287" t="n">
        <v>18.6</v>
      </c>
      <c r="F164" s="12287" t="n">
        <v>0</v>
      </c>
      <c r="G164" s="12287" t="n">
        <v>0.3</v>
      </c>
      <c r="H164" s="12287" t="n"/>
      <c r="I164" s="12288" t="n">
        <v>2</v>
      </c>
      <c r="J164" s="12289" t="n"/>
      <c r="K164" s="12289" t="n"/>
      <c r="L164" s="12289" t="n"/>
      <c r="M164" s="12287" t="n"/>
      <c r="N164" s="12287" t="n"/>
      <c r="O164" s="12287" t="n">
        <v>10</v>
      </c>
      <c r="P164" s="12290" t="n">
        <v>0.03</v>
      </c>
      <c r="Q164" s="12287" t="n"/>
      <c r="R164" s="12287" t="n">
        <v>72</v>
      </c>
      <c r="S164" s="12287" t="n">
        <v>15.5</v>
      </c>
      <c r="T164" s="1047" t="inlineStr">
        <is>
          <t>Sunny, cool but humid (John). Feed at 1:15 PM: clear, 80F, 52% RH; sun 6.0h of 7h so far (86%), ~9.9h full-day est.; high 80F, UV max 6.0. The feed logs a trace 0.03in overnight; the ruler shows no rise (level fell), so it is recorded but immaterial. Water temp 72F, up 1 from the 71F season low. Level 15.8 -&gt; 15.5 (-59 gal), the smallest daily drop in a week -- the humid night.</t>
        </is>
      </c>
      <c r="U164" s="12286" t="inlineStr">
        <is>
          <t>2026-09-18_1.jpg;2026-09-18_2.jpg;2026-09-18_3.jpg;2026-09-18_4.jpg;2026-09-18_5.jpg;2026-09-18_6.jpg</t>
        </is>
      </c>
      <c r="V164" s="1047" t="inlineStr">
        <is>
          <t>~12:45 PM (John: 'around 1245pm'). FC 18.6 (93 drops), CC 0.0, temp 72F, level 15.5. Dose row verified first (8/25 rule): 1.0 gal logged 9/17 18:20, nothing since. Mass balance: 15.0 @ 31,398 + 1.0 gal - 18.6 @ 31,339 =&gt; 0.27 ppm/24h -- VERY LOW demand, tied for the third-lowest of the season (below it: 0.0 on 9/13, the pump-out day, and 0.2 on 7/27; 0.3 also on 9/03). Conservation of mass holds: FC right after the pour was ~18.8, and 18.6 is below it, so nothing is impossible. *** PREDICTION MISSED HIGH -- scored against what was STATED (9/03 rule). Stated at the pour: mean 16.6 (err +2.0), median 17.2 (err +1.4), band 15.8-18.2 (= 79-91 drops). Actual 93 drops: TWO DROPS (0.4 ppm) above the band's top. That night's note also said a near-zero-demand day would land ~18.8, and this is close to that case. The 8/07 whole-ten trigger is NOT met: the +2.0 is against the point estimate, and re-scoring against whichever reference makes a miss look biggest is exactly what the 9/03 rule forbids. Nothing is attributed to counting. Band record 12 of 18 (67%) vs 70% design. The MEDIAN was closer again: fork now MEDIAN 10, MEAN 7 (17 scored; revisit at n&gt;=20). *** WATCH (NOT A FINDING) -- demand running low, forecasts running high. Two band misses in a row, both high (9/17 by 0.1, today by 0.4), with losses of 0.68 and 0.27; the last 20 average 1.71 against the season l24 of 2.24. There is a physical reason it could be real -- autumn: shorter days, lower sun angle, water at 71-72F -- which is different in kind from a window picked because it looked low. Even so, the 8/29 rule stands: l24 is NOT re-tuned off a recent window. Revisit with John only if the run persists, and treat it as a question of whether autumn is a distinct season. Practical effect under the whole-bottle rule: FC sits near the top of the range and skip nights become more common, which is fine. *** FROGS: John reported TWO LIVE FROGS in the pool today. One is visible in the before shot (2026-09-18_1.jpg, ZOOMED 2.5x: a small brown frog swimming near the edge, limbs extended); the after shot shows neither. That is five frogs in the pool in fifteen days (live 9/04, 9/16, 9/18 x2; dead 9/17). A floating escape ramp (POOL.md, 9/17 dead-animal entry) is aimed at exactly this. *** ALL ELEVEN PHOTOS OPENED per the 8/24 rule. BEFORE (_1): clear; the dark object mid-right is THE VACUUM (John, stated up front). Steps/liner (_2): clean, NO metal staining -- TWENTY-FOURTH consecutive day. Skimmer ruler (_3): shot of the tape at the skimmer; level taken as John read it. AFTER (_4): clear, clean surface, full sun. FILTER (_5), zoomed: needle about one to two ticks above 10, ~11-12 psi, consistent with yesterday's clearer ~12. Steady, inside the 12-14 clean baseline or just under it; backwash is ~22. SAMPLE-VOLUME PHOTO (_6), ZOOMED: the surface sits AT the 25 mL line or up to ~0.5 mL above it -- at most ~2%, i.e. at most ~0.4 ppm (2 drops) at FC 18.6. Consistent with every measurable fill. The pinkish tint at the surface and base is most likely the purple phone screen under the tube reflecting, not reagent colour. *** CANISTER (debris/2026-09-18_1..5.jpg): VERY LIGHT per John, whose in-person call governs (8/25 rule). The coarse material sits in the channel beside the centre plate: a DENSE PILL-BUG CLUSTER again (dozens, grey, mostly rolled); MANY SMALL BROWN ELONGATED GRAINS, like 9/16's (probably seeds, not confirmed) and one larger orange grain; a GREEN CATERPILLAR with a pale pinkish side stripe (debris/_3, ZOOMED -- clear enough to call a caterpillar; species not identified); a BEE- OR WASP-LIKE INSECT with an orange, banded abdomen (debris/_3, ZOOMED -- possibly a honeybee, NOT identified); small black beetles; pale segmented items (moult skins or pale isopods, uncertain); and a reddish-brown oval piece that may be a beetle wing-case (uncertain). Exterior panel (debris/_5): light fine particulate, lighter than the last two days. Uncertain items are flagged rather than asserted, per the 9/06-9/07 identification rule. *** NO DOSE TONIGHT RECOMMENDED -- dose.py says SKIP (raw 0.00): FC 18.6 is already above aim 15 and just under the ceiling of 19; next noon on a bad (4.5 ppm) day ~14.1, above floor 10. *** NO DOSE ROW, SO TOMORROW'S PREDICTION LIVES HERE: 9/19 noon ~16.4 (mean model, l24 2.24); median model 17.0; band 15.6-18.1 (last-20 p20-p90 including today, excluding the 8/20 and 9/10 artifacts). Score 9/19 against these. *** pH/TA panel STILL DUE -- last pH 8/14, last TA 8/20.</t>
        </is>
      </c>
      <c r="W164" s="12291" t="inlineStr">
        <is>
          <t>frogs+pillbugs+caterpillars+insects; very light (John) -- two live frogs in the pool (John); canister: pill-bug cluster, green caterpillar, bee- or wasp-like insect, many small brown grains (probably seeds)</t>
        </is>
      </c>
    </row>
    <row r="165">
      <c r="A165" s="12257" t="inlineStr">
        <is>
          <t>2026-09-19</t>
        </is>
      </c>
      <c r="B165" s="12258" t="inlineStr">
        <is>
          <t>14:00</t>
        </is>
      </c>
      <c r="C165" s="12258" t="inlineStr">
        <is>
          <t>TEST</t>
        </is>
      </c>
      <c r="D165" s="12259" t="n">
        <v>7.8</v>
      </c>
      <c r="E165" s="12259" t="n">
        <v>15.1</v>
      </c>
      <c r="F165" s="12259" t="n"/>
      <c r="G165" s="12259" t="n">
        <v>3.6</v>
      </c>
      <c r="H165" s="12259" t="n"/>
      <c r="I165" s="12260" t="n"/>
      <c r="J165" s="12261" t="n">
        <v>125</v>
      </c>
      <c r="K165" s="12261" t="n"/>
      <c r="L165" s="12261" t="n"/>
      <c r="M165" s="12259" t="n"/>
      <c r="N165" s="12259" t="n"/>
      <c r="O165" s="12259" t="n">
        <v>10.7</v>
      </c>
      <c r="P165" s="12262" t="n">
        <v>0</v>
      </c>
      <c r="Q165" s="12259" t="n"/>
      <c r="R165" s="12259" t="n">
        <v>72</v>
      </c>
      <c r="S165" s="12259" t="n">
        <v>14.7</v>
      </c>
      <c r="T165" s="813" t="inlineStr">
        <is>
          <t>Dry, much cooler and not humid today; humid yesterday (John). Sunny in the photos. The weather feed was DOWN when this row was written (Open-Meteo timed out, then HTTP 503); BACKFILLED 9/20 once it returned: sun 10.7h, UV max 5.6, high 69.4F, 0.00in precip. Water temp 72F. Level 15.5 -&gt; 14.7 (-157 gal), consistent with dry-air evaporation (-0.8 cm, as on 9/16 and 9/17).</t>
        </is>
      </c>
      <c r="U165" s="12258" t="inlineStr">
        <is>
          <t>2026-09-19_1.jpg;2026-09-19_3.jpg;2026-09-19_4.jpg;2026-09-19_5.jpg;2026-09-19_6.jpg;2026-09-19_7.jpg;2026-09-19_8.jpg</t>
        </is>
      </c>
      <c r="V165" s="813" t="inlineStr">
        <is>
          <t>FC OF RECORD 15.1 at 2:00 PM -- the MEAN of two retests on fresh samples, 74 drops (14.8) and 77 drops (15.4) (John). The two agree within 3 drops, a little wider than his usual repeatability (87/87 on 9/10, 58/57 on 7/19) but consistent. Row time set to 14:00, when the value of record was measured. CC set aside (see below), pH 7.8, TA 120-130 (logged 125), temp 72F, level 14.7. Dose rows verified first (8/25 rule): the last dose is 1.0 gal on 9/17 18:20; 9/18 was skipped as recommended, so this interval is UNDOSED. *** THE ~1:20 PM READING IS WITHDRAWN: 56 drops (11.2), CC 0.7. PROVEN WRONG BY CONSERVATION OF MASS -- FC cannot rise without a dose, and forty minutes later two careful retests read 3.6-4.2 ppm HIGHER. It first went into this row as the value of record, flagged with a retest requested; the retest settled it. CAUSE UNKNOWN. The candidates that read LOW are too little DPD powder (one-directional; John always uses a heaping scoop, the 9/14 wet spoon being the one exception) and a counting slip (his usual slip is a whole ten; this was ~19-21 drops). Neither is assumed; John was asked whether anything was different about the first test. *** CC SET ASIDE FOR TODAY -- JOHN'S CALL: 'perhaps we just ignore the reading today because i am not going to do a 4th test and waste all the reagents.. so you'll get an updated CC tomorrow.' The only CC (0.7) came from the first titration, whose FC is withdrawn. CC is counted by continuing that titration after adding the R-0003, so a flawed first titration can move CC in EITHER direction: up, if free chlorine left over from a stopped-early FC step is counted in the CC step; down, if there was too little DPD for the CC step too. In this test most of the missing ~3.9 ppm did NOT reappear as CC (FC+CC 11.9 against a real FC of ~15.1), so it was not simple carry-over; 0.7 is unverifiable, not proven wrong. The 2 PM retests were FC only BECAUSE CLAUDE ASKED FOR FC ONLY -- the retest request never mentioned CC, and John reasonably did not know a powder problem could affect it. (Claude also blanked CC first, restored it when John objected, and it is now blank again at John's decision.) Fresh CC tomorrow. *** CLAUDE'S OVERCLAIM, WITHDRAWN. On the 1:20 numbers Claude told John 'it looks like a real demand event, not a bad test', reading the FC drop plus the CC rise as the 7/10 (dog) signature, and said the two-day view was elevated 'either way'. BOTH WRONG. The 'signature' was not two independent signals: FC and CC came from one sample and one titration, so a single flawed titration can move both. And the two-day figure was computed FROM the suspect reading, so it could not be independent of it. The retest request was right, and it is what caught the error. Rule added to POOL.md. *** MASS BALANCE on the value of record: 18.6 @ 31,339 - 15.1 @ 31,182 =&gt; 3.59 ppm over a 25.25 h window (12:45 -&gt; 14:00), which is 1.25 h off 24 h, so ~3.4 ppm per 24 h normalised. (The column holds the raw balance, as check_log.py enforces.) Above the last-20 p90 (~3.0-3.4): a high-demand day, nothing extreme. TWO-DAY VIEW: from 9/17's 15.0 plus the 1.0 gal dose to today's 15.1 is 1.93 ppm/day -- ORDINARY. So 9/18 (0.27) and 9/19 (3.6) average to a normal pair, the same shape as 9/13-9/14. Whether 9/18's 18.6 read a little high or demand really split that way, no story is picked. THE DEAD MOUSE John skimmed out this morning ('i did skim out a dead mouse this morning, but don't see anything else in there') falls in this window; per the 8/25 rule, no chlorine effect is claimed for it. *** PREDICTION MISSED LOW, scored against what was stated (9/03 rule) in the 9/18 row: mean 16.4 (err -1.3), median 17.0 (err -1.9), band 15.6-18.1 -- actual 15.1 is 0.5 below the band, part of it the extra 1.25 h in the window. The MEAN was closer: fork now MEDIAN 10, MEAN 8 (18 scored). Band record 12 of 19 (63%), three misses in a row (9/17 high by 0.1, 9/18 high by 0.4, 9/19 low by 0.5), inside a two-day pair that is ordinary. *** pH/TA PANEL DONE. pH 7.8 (first since 8/14), at the top of the usual 7.2-7.8 range. TA between 120 and 130 raw (John: '120 was just pink and 130 was red'), logged as 125. UNCHANGED from 8/01 (120) and 8/20 (130): alkalinity is STABLE, nothing to add. Carbonate TA is roughly 75-80 after the usual CYA correction (about a third of CYA 148 is subtracted). The 8/02 finding stands (chlorine does not interfere with the pH test). *** ALL THIRTEEN PHOTOS OPENED per the 8/24 rule. BEFORE (_1): clear; the dark object lower right is the vacuum. PHOTO _2 REMOVED at John's request ('ignore photo 2 - it was an accident' / 'pull it off'): an accidental shot of the deck edge; moved out of photos/ to a local folder that is not published (icloud/accidental/). Steps/liner (_3): clean, NO metal staining -- TWENTY-FIFTH consecutive day. Skimmer ruler (_4). FILTER (_5), ZOOMED: needle about one to two ticks above 10, ~11-12 psi, steady. AFTER (_6): clear, clean surface, full sun. SAMPLE-VOLUME PHOTO (_7), ZOOMED: the surface sits ON the 25 mL line -- fill volume ruled out for the withdrawn reading. _8: the pH SAMPLE filled to its level line (John: 'photo 8 is the bottle /level i used for the ph reading'); not a new reagent bottle. *** CANISTER (debris/2026-09-19_1..5.jpg): VERY LIGHT per John (8/25 rule), the lightest in days -- the tray is almost bare. A spiny HOLLY-TYPE LEAF, TWO ACORNS (one capped, one bare), an oak leaf, a few pill bugs and a grub, and a fibrous mat along one side. ZOOMED: a TAN FUZZY ITEM with fine hairs (debris/_4) -- fur, a fuzzy caterpillar such as a woolly bear, or a bee are all possible; NOT identified, deliberately not called mouse remains; pale fluffy strands (debris/_2; plant fluff or fibres); a bristly orange-brown segmented strip in the mat (debris/_3; centipede or caterpillar fragment, or a burr). Exterior panel (_5): light fine particulate. *** DOSE 1.0 GAL RECOMMENDED (dose.py at 15.1, raw 0.56 -&gt; nearest whole gallon 1). FC right after the pour ~18.9 on the 2 PM value, just under the ceiling of 19 -- lower in practice, since chlorine keeps dropping between 2 PM and the evening pour. Next noon: mean model 16.7, median 17.4, band 15.5-18.5 (last-20 p20-p90 including today, excluding the 8/20 and 9/10 artifacts); bad (4.5 ppm) day ~14.4. Skipping instead would land ~12.9. *** Weather feed DOWN when this row was written (Open-Meteo timeout, then HTTP 503): sun hours, air temp and UV blank rather than invented; backfill if the feed returns. John: dry, much cooler, not humid today; humid yesterday.</t>
        </is>
      </c>
      <c r="W165" s="12263" t="inlineStr">
        <is>
          <t>carcass+pillbugs+leaves+seeds; very light sediment (John) -- a dead mouse skimmed out this morning (John); canister: holly and oak leaves, two acorns, a few pill bugs, an unidentified tan fuzzy item</t>
        </is>
      </c>
    </row>
    <row r="166">
      <c r="A166" s="12271" t="inlineStr">
        <is>
          <t>2026-09-19</t>
        </is>
      </c>
      <c r="B166" s="12272" t="inlineStr">
        <is>
          <t>18:40</t>
        </is>
      </c>
      <c r="C166" s="12272" t="inlineStr">
        <is>
          <t>DOSE</t>
        </is>
      </c>
      <c r="D166" s="12273" t="n"/>
      <c r="E166" s="12273" t="n"/>
      <c r="F166" s="12273" t="n"/>
      <c r="G166" s="12273" t="n"/>
      <c r="H166" s="12273" t="n">
        <v>16.7</v>
      </c>
      <c r="I166" s="12274" t="n"/>
      <c r="J166" s="12275" t="n"/>
      <c r="K166" s="12275" t="n"/>
      <c r="L166" s="12275" t="n"/>
      <c r="M166" s="12273" t="n">
        <v>1</v>
      </c>
      <c r="N166" s="12273" t="n">
        <v>60</v>
      </c>
      <c r="O166" s="12273" t="n"/>
      <c r="P166" s="12276" t="n"/>
      <c r="Q166" s="12273" t="n"/>
      <c r="R166" s="12273" t="n"/>
      <c r="S166" s="12273" t="n"/>
      <c r="T166" s="827" t="n"/>
      <c r="U166" s="12272" t="n"/>
      <c r="V166" s="827" t="inlineStr">
        <is>
          <t>6:40 PM, 1.0 gal poured as recommended -- a whole bottle (9/16 rule). Season total 60.0 gal. Sized on the 2 PM value of record, FC 15.1 (the mean of the 74/77-drop retests), NOT the withdrawn 1:20 PM reading of 11.2 -- that reading would have called for 2.0 gal, which on the true 15.1 would have landed FC near 22.8, well over the safe-swim ceiling of 19. The retest is what kept the pour at one bottle. FC right after the pour ~18.9 on the 2 PM number, and lower in practice since chlorine kept dropping through the afternoon. Projected next noon 16.7 (mean model, l24 2.24); median model 17.4; band 15.5-18.5 (last-20 p20-p90, excluding the 8/20 and 9/10 artifacts); on a bad 4.5 ppm day ~14.4, well above floor 10. *** RAIN IS FORECAST OVERNIGHT (John). Rain DILUTES: on 9/13 roughly 3 inches by the ruler cost about 0.9 ppm, so order ~0.3 ppm per inch here. Tomorrow's reading is therefore expected at the LOW end of the band, and that dilution is not chlorine demand -- it will be separated when the row is scored. If the pool gets too full and water is pumped to waste, that removes chlorine with the water (~0.27 ppm per 10 minutes at ~50 GPM, 7/06 rate), which the standard mass balance cannot see; log the minutes as an EVENT - Waste row (9/13 precedent). *** Tomorrow also brings a FRESH CC, which today's set-aside reading could not give. *** Fork standing: MEDIAN 10, MEAN 8; a reading below ~17.0 favours the mean, above it the median.</t>
        </is>
      </c>
      <c r="W166" s="12277" t="n"/>
    </row>
    <row r="167">
      <c r="A167" s="12285" t="inlineStr">
        <is>
          <t>2026-09-20</t>
        </is>
      </c>
      <c r="B167" s="12286" t="inlineStr">
        <is>
          <t>13:30</t>
        </is>
      </c>
      <c r="C167" s="12286" t="inlineStr">
        <is>
          <t>TEST</t>
        </is>
      </c>
      <c r="D167" s="12287" t="n"/>
      <c r="E167" s="12287" t="n">
        <v>17.2</v>
      </c>
      <c r="F167" s="12287" t="n">
        <v>0.3</v>
      </c>
      <c r="G167" s="12287" t="n">
        <v>1.7</v>
      </c>
      <c r="H167" s="12287" t="n"/>
      <c r="I167" s="12288" t="n">
        <v>0.5</v>
      </c>
      <c r="J167" s="12289" t="n"/>
      <c r="K167" s="12289" t="n"/>
      <c r="L167" s="12289" t="n"/>
      <c r="M167" s="12287" t="n"/>
      <c r="N167" s="12287" t="n"/>
      <c r="O167" s="12287" t="n">
        <v>2</v>
      </c>
      <c r="P167" s="12290" t="n">
        <v>0.41</v>
      </c>
      <c r="Q167" s="12287" t="n"/>
      <c r="R167" s="12287" t="n">
        <v>70</v>
      </c>
      <c r="S167" s="12287" t="n">
        <v>15</v>
      </c>
      <c r="T167" s="1047" t="inlineStr">
        <is>
          <t>RAINY ALL DAY; John found a break in the rain to take the readings. Feed at 1:30 PM: overcast, 64F, 89% RH, UV max 0.8, high 67F, precip 0.41in so far. SUN: the live feed says 1.7h of 7h daylight (25%) while the daily aggregate returned 0.0h for today -- inconsistent, so sun is logged as ~2h and should be read as 'very little'. Water temp 70F, a new season low, down 2F in two days. Level 14.7 -&gt; 15.0 (+59 gal), the first RISE since 9/13.</t>
        </is>
      </c>
      <c r="U167" s="12286" t="inlineStr">
        <is>
          <t>2026-09-20_1.jpg;2026-09-20_2.jpg;2026-09-20_3.jpg;2026-09-20_4.jpg;2026-09-20_5.jpg;2026-09-20_6.jpg</t>
        </is>
      </c>
      <c r="V167" s="1047" t="inlineStr">
        <is>
          <t>1:30 PM. FC 17.2 (86 drops), CC 0.3, temp 70F, level 15.0. Dose row verified first (8/25 rule): 1.0 gal logged 9/19 18:40. Window 14:00 -&gt; 13:30 = 23.5 h, inside the 1 h tolerance, so not normalised. Mass balance: 15.1 @ 31,182 + 1.0 gal - 17.2 @ 31,241 =&gt; 1.73 ppm/24h -- an ORDINARY day, right at the last-20 median (1.70). *** THIS CLOSES THE 9/19 EPISODE. Yesterday's withdrawn 11.2 would have implied a season-record 7.5 ppm loss; the value of record (15.1, from the paired retests) gives 3.6 that day and 1.7 today, and the whole 9/17-&gt;9/20 stretch averages 1.9/day. Nothing unusual happened to this pool: one bad titration did. *** FRESH CC 0.3 -- the first CC since 9/18 (9/19's was set aside at John's call). It is well below the 0.5 flag and in the normal range, so the 0.7 from the discarded titration has no successor: there is NO chloramine problem. Combined with the ordinary loss, the 'organic demand event' reading of 9/19 is fully retired. *** PREDICTION HIT. Stated on the 9/19 DOSE row: mean 16.7 (err +0.5), median 17.4 (err -0.2), band 15.5-18.5 -- actual 17.2, comfortably inside. Band record 13 of 20 (65%) vs 70% design. The MEDIAN was closer: fork now MEDIAN 11, MEAN 8 (19 scored). One more scored day reaches the n=20 mark set on 8/30 for revisiting the fork. *** RAIN, AND THE RULER AGAIN DISAGREES WITH THE FEED -- THIS TIME THE OTHER WAY. Feed 0.41in; the ruler shows +0.3 cm = ~0.12in of net rise, roughly a third of the feed, with rain still falling at test time and little evaporation on a 64F, 89% RH day. On 9/13 the ruler showed FOUR TIMES the feed. Feed errors go both directions (8/03 rule): trust it for timing, never for amount. *** DILUTION WAS NEGLIGIBLE: +59 gal on ~31,200 is 0.19%, about 0.03 ppm of FC -- well under one drop. The band hit needed no rain allowance. If heavier rain arrives, revisit. *** ALL TWELVE PHOTOS OPENED per the 8/24 rule. BEFORE (_1): clear, surface dimpled with rain; the dark object mid-pool is the vacuum. Steps/liner (_2): clean, NO metal staining -- TWENTY-SIXTH consecutive day. Skimmer ruler (_3). AFTER (_4): clear, calm, clean surface. FILTER (_5), ZOOMED: needle a tick or so above 10, ~11 psi, the same as the last three days -- eight days at 11-12. SAMPLE-VOLUME PHOTO (_6), ZOOMED: the surface sits AT the 25 mL line, within ~0.3 mL. *** CANISTER (debris/2026-09-20_1..6.jpg): LIGHT per John (8/25 rule). MANY SMALL BROWN ELONGATED GRAINS again, scattered across the tray floor -- the fourth day running (9/16, 9/18, 9/19, today), and now clearly the dominant item; still read as SEEDS, not confirmed. A CENTIPEDE, reddish-brown with legs along the full body, clear in two frames (debris/_3, _5) -- not the same as the 9/13 'long thin reddish worm or centipede', which was never identified; this one is unambiguous. Also YELLOW OAK LEAVES (autumn colour now well along), a brown leaf, a pale grub, a spindle-shaped grey-brown case that may be a pupa or cocoon (NOT identified), and an orange-tan curled item like the ones seen since 9/15 (probably a moult skin or orange isopod, still not confirmed). Exterior panel (debris/_6): light-to-moderate fine particulate. *** NO DOSE TONIGHT -- dose.py says SKIP (raw 0.01): FC 17.2 is above aim 15 and under the ceiling of 19; next noon on a bad (4.5 ppm) day ~12.7, above floor 10. *** NO DOSE ROW, SO TOMORROW'S PREDICTION LIVES HERE: 9/21 noon ~15.0 (mean model, l24 2.24); median model 15.5; band 13.8-16.5 (last-20 p20-p90 including today, excluding the 8/20 and 9/10 artifacts). Score 9/21 against these, and allow for dilution if the rain keeps up. *** pH/TA panel DONE 9/19 (pH 7.8, TA 120-130); next one due in a few weeks.</t>
        </is>
      </c>
      <c r="W167" s="12291" t="inlineStr">
        <is>
          <t>seeds+leaves+insects; light (John) -- rainy day; canister: many small brown grains (probably seeds), a centipede, yellow oak leaves, a pale grub</t>
        </is>
      </c>
    </row>
    <row r="168">
      <c r="A168" s="12257" t="inlineStr">
        <is>
          <t>2026-09-21</t>
        </is>
      </c>
      <c r="B168" s="12258" t="inlineStr">
        <is>
          <t>12:50</t>
        </is>
      </c>
      <c r="C168" s="12258" t="inlineStr">
        <is>
          <t>TEST</t>
        </is>
      </c>
      <c r="D168" s="12259" t="n"/>
      <c r="E168" s="12259" t="n">
        <v>14.8</v>
      </c>
      <c r="F168" s="12259" t="n">
        <v>0.2</v>
      </c>
      <c r="G168" s="12259" t="n">
        <v>2.4</v>
      </c>
      <c r="H168" s="12259" t="n"/>
      <c r="I168" s="12260" t="n">
        <v>-0.2</v>
      </c>
      <c r="J168" s="12261" t="n"/>
      <c r="K168" s="12261" t="n"/>
      <c r="L168" s="12261" t="n"/>
      <c r="M168" s="12259" t="n"/>
      <c r="N168" s="12259" t="n"/>
      <c r="O168" s="12259" t="n">
        <v>7</v>
      </c>
      <c r="P168" s="12262" t="n">
        <v>0.1</v>
      </c>
      <c r="Q168" s="12259" t="n"/>
      <c r="R168" s="12259" t="n">
        <v>70</v>
      </c>
      <c r="S168" s="12259" t="n">
        <v>15.2</v>
      </c>
      <c r="T168" s="813" t="inlineStr">
        <is>
          <t>Sunny and clear at test time (photos). Feed at 1 PM: clear, 67F, 65% RH; sun 3.9h of 7h so far by the live feed (the daily aggregate says 5.1h -- the two disagree again), ~7h full-day est.; high 69F, UV max 5.7; ~0.1in rain overnight. Water temp 70F, tying yesterday's season low. Level 15.0 -&gt; 15.2 (+39 gal) -- and this time the ruler AGREES with the feed: 0.1in of rain on 800 sq ft is ~+0.25 cm.</t>
        </is>
      </c>
      <c r="U168" s="12258" t="inlineStr">
        <is>
          <t>2026-09-21_1.jpg;2026-09-21_2.jpg;2026-09-21_3.jpg;2026-09-21_4.jpg;2026-09-21_5.jpg;2026-09-21_6.jpg</t>
        </is>
      </c>
      <c r="V168" s="813" t="inlineStr">
        <is>
          <t>TIME 12:50 IS FROM THE PHOTO TIMESTAMPS, not from John -- he did not give a time today. The six photos run 12:43 to 12:52 (sample tube last, 12:52), so the test was ~12:50. Correct it if wrong (8/31 lesson: never assume a time). FC 14.8 (74 drops), CC 0.2, temp 70F, level 15.2. Dose rows verified first (8/25 rule): the last dose is 1.0 gal on 9/19 18:40; 9/20 was skipped as recommended, so this interval is UNDOSED. Mass balance: 17.2 @ 31,241 - 14.8 @ 31,280 =&gt; 2.38 ppm/24h -- ordinary, a little above the last-20 median (1.75). *** NO VACUUM RUN TODAY (John): 'the pool was spotless this morning other than i skimmed out a live frog and another dead mouse from the top.. and a few leaves floating.. so no vacuum pics today.. very little sediment if any.' FIRST DAY WITHOUT THE ROBOT since the daily routine settled on 8/10, and a reasonable call on a clean pool. LOAD IS FROM JOHN'S IN-PERSON REPORT, which is a primary source -- the 8/24 rule forbids characterising load from POOL SHOTS alone, not from what John saw and removed. There are no canister photos to add. *** ANOTHER DEAD MOUSE: the third in five days (9/17, 9/19, 9/21) and the fifth of the season (7/28, 8/25, 9/17, 9/19, 9/21), plus the 9/17 opossum and frog. The pace has picked up sharply this week, which makes the escape ramp (POOL.md 9/17 entry) more worthwhile. No chlorine effect is claimed (8/25 rule), and none is visible: an ordinary 2.4 loss and CC 0.2. Live frog: the sixth frog in the pool this month. *** CC 0.2 -- normal, and the second fresh CC since the set-aside 9/19 reading (0.3 yesterday). *** PREDICTION HIT. Stated in the 9/20 row (no dose that night): mean 15.0 (err -0.2), median 15.5 (err -0.7), band 13.8-16.5 -- actual 14.8, inside. Band record 14 of 21 (67%) vs 70% design. The MEAN was closer: fork MEDIAN 11, MEAN 9 -- 20 SCORED, THE n=20 MARK SET ON 8/30. *** FORK REVISITED AND CLOSED (full note in POOL.md 9/21). Win count 11-9 is a coin flip. A proper back-test over all 58 day-pairs with 20+ prior days: MAE expanding-mean 1.22 vs trailing-20 median 1.18 -- a TIE. The one real difference is BIAS: the mean over-states daily loss by ~0.4-0.6 ppm (actual minus forecast -0.60 across all 58, -0.44 over the last 20), while the median is close to unbiased (-0.05; +0.24 last 20). That is why FC keeps landing a little above the dose.py forecast. Recommendation to John: NO CHANGE to dose.py -- accuracy is a tie, and the mean's bias errs toward slightly more chlorine, which the ceiling check already caps. The win tally is retired. *** ALL SIX PHOTOS OPENED per the 8/24 rule. BEFORE (_1): clear and sunny, a few floating oak leaves -- the ones John skimmed; no robot in the pool. Steps/liner (_2): clean, NO metal staining -- TWENTY-SEVENTH consecutive day. Skimmer ruler (_3). FILTER (_4), a clear head-on shot: needle about one tick above 10, ~11 psi -- nine days at 11-12. AFTER (_5): clear, clean surface, full sun. SAMPLE-VOLUME PHOTO (_6), ZOOMED: the surface sits AT the 25 mL line. A green tint at the meniscus is most likely reflected vegetation or light; FAS-DPD colours are pink to clear, never green, so it is not reagent colour. *** DOSE 1.0 GAL RECOMMENDED (dose.py raw 0.64 -&gt; nearest whole gallon 1): FC right after the pour ~18.6, under the ceiling of 19; next noon mean model 16.4, median 16.9, band 15.2-18.0; bad (4.5 ppm) day ~14.1, above floor 10.</t>
        </is>
      </c>
      <c r="W168" s="12263" t="inlineStr">
        <is>
          <t>carcass+frogs+leaves; very little sediment (John) -- NO VACUUM RUN; pool spotless; a live frog, a dead mouse and a few floating leaves skimmed out (John)</t>
        </is>
      </c>
    </row>
    <row r="169">
      <c r="A169" s="12271" t="inlineStr">
        <is>
          <t>2026-09-21</t>
        </is>
      </c>
      <c r="B169" s="12272" t="inlineStr">
        <is>
          <t>19:40</t>
        </is>
      </c>
      <c r="C169" s="12272" t="inlineStr">
        <is>
          <t>DOSE</t>
        </is>
      </c>
      <c r="D169" s="12273" t="n"/>
      <c r="E169" s="12273" t="n"/>
      <c r="F169" s="12273" t="n"/>
      <c r="G169" s="12273" t="n"/>
      <c r="H169" s="12273" t="n">
        <v>16.4</v>
      </c>
      <c r="I169" s="12274" t="n"/>
      <c r="J169" s="12275" t="n"/>
      <c r="K169" s="12275" t="n"/>
      <c r="L169" s="12275" t="n"/>
      <c r="M169" s="12273" t="n">
        <v>1</v>
      </c>
      <c r="N169" s="12273" t="n">
        <v>61</v>
      </c>
      <c r="O169" s="12273" t="n"/>
      <c r="P169" s="12276" t="n"/>
      <c r="Q169" s="12273" t="n"/>
      <c r="R169" s="12273" t="n"/>
      <c r="S169" s="12273" t="n"/>
      <c r="T169" s="827" t="n"/>
      <c r="U169" s="12272" t="n"/>
      <c r="V169" s="827" t="inlineStr">
        <is>
          <t>7:40 PM, 1.0 gal poured as recommended -- a whole bottle (9/16 rule), later than the usual ~7 PM. Season total 61.0 gal. FC right after the pour ~18.6 (14.8 at 31,280 gal plus 1.0 gal = +3.85 ppm), under the safe-swim ceiling of 19, and lower in practice since chlorine kept dropping between the ~12:50 test and the pour. Projected next noon 16.4 (dose.py mean model, l24 2.24); median model 16.9; band 15.2-18.0 (last-20 p20-p90, excluding the 8/20 and 9/10 artifacts); on a bad 4.5 ppm day ~14.1, well above floor 10. *** The mean-vs-median fork was closed today (POOL.md 9/21): no change to dose.py, and no win tally from here on. Both projections are still recorded so the known ~0.5 ppm/day high bias of the mean stays visible. *** First dose after a no-vacuum day; nothing is predicted from that (load does not predict loss, 8/12-13).</t>
        </is>
      </c>
      <c r="W169" s="12277" t="n"/>
    </row>
    <row r="170">
      <c r="A170" s="12285" t="inlineStr">
        <is>
          <t>2026-09-22</t>
        </is>
      </c>
      <c r="B170" s="12286" t="inlineStr">
        <is>
          <t>12:30</t>
        </is>
      </c>
      <c r="C170" s="12286" t="inlineStr">
        <is>
          <t>TEST</t>
        </is>
      </c>
      <c r="D170" s="12287" t="n"/>
      <c r="E170" s="12287" t="n">
        <v>16</v>
      </c>
      <c r="F170" s="12287" t="n">
        <v>0</v>
      </c>
      <c r="G170" s="12287" t="n">
        <v>2.7</v>
      </c>
      <c r="H170" s="12287" t="n"/>
      <c r="I170" s="12288" t="n">
        <v>-0.4</v>
      </c>
      <c r="J170" s="12289" t="n"/>
      <c r="K170" s="12289" t="n"/>
      <c r="L170" s="12289" t="n"/>
      <c r="M170" s="12287" t="n"/>
      <c r="N170" s="12287" t="n"/>
      <c r="O170" s="12287" t="n">
        <v>2</v>
      </c>
      <c r="P170" s="12290" t="n">
        <v>0</v>
      </c>
      <c r="Q170" s="12287" t="n"/>
      <c r="R170" s="12287" t="n">
        <v>68</v>
      </c>
      <c r="S170" s="12287" t="n">
        <v>14.5</v>
      </c>
      <c r="T170" s="1047" t="inlineStr">
        <is>
          <t>Overcast and much cooler (John). Feed at 12:30 PM: overcast, 63F, 67% RH; high only 66F, UV max 3.0, 0.00in precip. Sun: the live feed says 2.7h of 6h so far and the daily aggregate 1.8h -- they disagree again; logged ~2h. WATER TEMP 68F -- A NEW SEASON LOW, down 2F overnight and 9F from the late-August plateau of 77. Level 15.2 -&gt; 14.5 (-137 gal): cool, drier air.</t>
        </is>
      </c>
      <c r="U170" s="12286" t="inlineStr">
        <is>
          <t>2026-09-22_1.jpg;2026-09-22_2.jpg;2026-09-22_3.jpg;2026-09-22_4.jpg;2026-09-22_5.jpg</t>
        </is>
      </c>
      <c r="V170" s="1047" t="inlineStr">
        <is>
          <t>TIME 12:30 IS FROM THE PHOTO TIMESTAMPS, not from John -- the photos run 12:17 to 12:28, the sample tube last at 12:28. Correct it if wrong. FC 16.0 (80 drops), CC 0.0, temp 68F, level 14.5. Dose row verified first (8/25 rule): 1.0 gal logged 9/21 19:40. Window ~12:50 -&gt; 12:30 = 23.7 h, inside the 1 h tolerance. Mass balance: 14.8 @ 31,280 + 1.0 gal - 16.0 @ 31,143 =&gt; 2.73 ppm/24h -- ordinary, above the last-20 median (1.75), below p90 (3.4). Nothing to explain. *** PREDICTION HIT. Stated on the 9/21 DOSE row: dose.py 16.4 (err -0.4), median 16.9 (err -0.9), band 15.2-18.0 -- actual 16.0, inside. Band record 15 of 22 (68%) vs 70% design. The fork is closed (POOL.md 9/21), so no tally; both errors recorded for the bias record. Today the mean was the closer of the two. *** CC 0.0 -- the lowest possible, third fresh CC since 9/19. *** THE VACUUM RAN TODAY (canister photos present), back to the routine after yesterday's skip. *** ALL ELEVEN PHOTOS OPENED per the 8/24 rule. BEFORE (_1): clear; the ROBOT is in the pool (mid-right), a few floating oak leaves -- the ones John skimmed. Steps/liner (_2): clean, NO metal staining -- TWENTY-EIGHTH consecutive day, four weeks. Skimmer ruler (_3). AFTER (_4): clear, clean surface. SAMPLE-VOLUME PHOTO (_5), ZOOMED: the surface sits AT the 25 mL line (camera rotated; tube upright); the green tint at the meniscus again -- reflected vegetation, as on 9/21. NO FILTER-GAUGE PHOTO today; it read ~11 psi for nine straight days through 9/21. *** CANISTER (debris/2026-09-22_1..6.jpg): LIGHT per John (8/25 rule); the coarse material sits along one side. Contents: a green HOLLY LEAF and twigs; a few PILL BUGS (grey, rolled); TWO MILLIPEDES, pale and segmented (debris/_2) -- the most recent earlier sightings were 9/08, 9/09 and 9/13 (in the notes; only today's is tagged in Load); a small GREEN CATERPILLAR (debris/_2); a shiny BLACK BEETLE among the leaves (debris/_3, _4); a small winged insect, fly- or gnat-like (debris/_4); a pale curled larva; and two small round orange-yellow items -- a berry or seed most likely, NOT identified (debris/_2). A small round grey item in debris/_2 is NOT called a snail (8/31 acorn lesson). NOTABLY FEWER of the small brown grains that dominated 9/16-9/20. Exterior panel (debris/_6): light-to-moderate fine particulate. *** NO DOSE TONIGHT -- dose.py says SKIP (raw 0.32 -&gt; nearest whole gallon 0): FC 16.0 is above aim 15 and under the ceiling of 19; next noon on a bad (4.5 ppm) day ~11.5, above floor 10. *** NO DOSE ROW, SO TOMORROW'S PREDICTION LIVES HERE: 9/23 noon ~13.8 (dose.py, l24 2.24); median model 14.2; band 12.6-15.3 (last-20 p20-p90 including today, excluding the 8/20 and 9/10 artifacts). Score 9/23 against these. At that level tomorrow evening will most likely call for 1 gallon.</t>
        </is>
      </c>
      <c r="W170" s="12291" t="inlineStr">
        <is>
          <t>pillbugs+millipedes+caterpillars+insects+leaves; light (John) -- floating leaves skimmed; canister: holly leaf, two millipedes, a green caterpillar, a black beetle</t>
        </is>
      </c>
    </row>
    <row r="171">
      <c r="A171" s="12257" t="inlineStr">
        <is>
          <t>2026-09-23</t>
        </is>
      </c>
      <c r="B171" s="12258" t="inlineStr">
        <is>
          <t>14:00</t>
        </is>
      </c>
      <c r="C171" s="12258" t="inlineStr">
        <is>
          <t>TEST</t>
        </is>
      </c>
      <c r="D171" s="12259" t="n"/>
      <c r="E171" s="12259" t="n">
        <v>14.2</v>
      </c>
      <c r="F171" s="12259" t="n">
        <v>0.2</v>
      </c>
      <c r="G171" s="12259" t="n">
        <v>1.8</v>
      </c>
      <c r="H171" s="12259" t="n"/>
      <c r="I171" s="12260" t="n">
        <v>0.4</v>
      </c>
      <c r="J171" s="12261" t="n"/>
      <c r="K171" s="12261" t="n"/>
      <c r="L171" s="12261" t="n"/>
      <c r="M171" s="12259" t="n"/>
      <c r="N171" s="12259" t="n"/>
      <c r="O171" s="12259" t="n">
        <v>11</v>
      </c>
      <c r="P171" s="12262" t="n">
        <v>0</v>
      </c>
      <c r="Q171" s="12259" t="n"/>
      <c r="R171" s="12259" t="n">
        <v>66</v>
      </c>
      <c r="S171" s="12259" t="n">
        <v>14.2</v>
      </c>
      <c r="T171" s="813" t="inlineStr">
        <is>
          <t>Sunny, dry and VERY WINDY (John). Feed at 3 PM: clear, 69F, 38% RH -- the driest air in weeks; sun 8.0h of 9h daylight so far (89%), 11.0h full-day; high 69F, UV max 5.7, 0.00in precip. WATER TEMP 66F -- a new season low, down 2F again and 11F off the late-August plateau. Level 14.5 -&gt; 14.2 (-59 gal): wind plus 38% humidity.</t>
        </is>
      </c>
      <c r="U171" s="12258" t="inlineStr">
        <is>
          <t>2026-09-23_1.jpg;2026-09-23_2.jpg;2026-09-23_3.jpg;2026-09-23_4.jpg;2026-09-23_5.jpg;2026-09-23_6.jpg</t>
        </is>
      </c>
      <c r="V171" s="813" t="inlineStr">
        <is>
          <t>2:00 PM (John: 'data gathered around 2pm'; the sample-tube photo is stamped 14:16, the pool and canister shots 12:16-12:27 -- the robot pull happened earlier, the test at 2). FC 14.2 (71 drops), CC 0.2, temp 66F, level 14.2. Dose row verified first (8/25 rule): 1.0 gal logged 9/21 19:40; 9/22 was skipped as recommended, so this interval is UNDOSED. *** WINDOW 12:30 -&gt; 14:00 = 25.5 h, which is 1.5 h OVER the 1 h tolerance, so this is one of the rare days that needs normalising. Mass balance: 16.0 @ 31,143 - 14.2 @ 31,084 =&gt; 1.83 ppm over 25.5 h = 1.72 ppm PER 24 H. The column holds the raw balance (1.8), as check_log.py requires; read the day as ~1.7, an ordinary day at the last-20 median. *** PREDICTION HIT, AND THE MEDIAN MODEL WAS EXACT. Stated in the 9/22 row (no dose that night): dose.py 13.8 (err +0.4), median 14.2 (err 0.0 -- dead on), band 12.6-15.3. Band record 16 of 23 (70%), exactly the design rate. *** CC 0.2, normal. *** HEAVY LEAF DAY, AS JOHN DESCRIBED: 'lots of leaves on surface.. lots of skimming.. and you can see it reflect in heavy sediment in cannister'. The canister bears him out -- see below. This is the autumn leaf drop arriving in earnest; expect more skimming and fuller canisters from here. *** ALL TWELVE PHOTOS OPENED per the 8/24 rule. BEFORE (_1): clear water, several floating oak leaves, wind ripple across the surface. Steps/liner (_2): clean, NO metal staining -- TWENTY-NINTH consecutive day. Skimmer ruler (_3). FILTER (_4), ZOOMED: needle about one tick above 10, ~11 psi -- TEN DAYS at 11-12, no rise despite the leaf load, which is expected: leaves are caught by the canister and skimmer, not the D.E. grids. AFTER (_5): clear, clean surface, leaves gone -- the daily skim (9/02 rule). SAMPLE-VOLUME PHOTO (_6, 14:16), ZOOMED: the surface sits AT the 25 mL line. IT ALSO EXPLAINS THE GREEN TINT seen at the meniscus on 9/21 and 9/22: the tube is standing on a GREEN surface, which shows through the glass. Not reagent colour, as suspected then, and now confirmed. *** CANISTER (debris/2026-09-23_1..6.jpg): HEAVY for this season and DOMINATED BY WHOLE LEAVES -- a thick mat of oak and holly-type leaves in full autumn colour (green, yellow, orange, red and brown together, debris/_2), comparable to 9/14, which the log called the season's leafiest; not ranked against it, since photo framing differs. Also fine organic litter packed along the mesh, small dark insects on the panels (gnat- or fly-like, NOT identified), thin-legged items that may be crane flies or harvestmen (NOT identified), and one pale curled grub. Exterior panel (debris/_6): moderate fine particulate, more than the last few days. NOTE the contrast with yesterday's light load -- wind is the difference, not a change in the pool. *** DOSE 1.0 GAL RECOMMENDED (dose.py raw 0.79 -&gt; nearest whole gallon 1): FC right after the pour ~18.0, under the ceiling of 19; next noon mean model 15.8, median 16.3, band 14.7-17.0; bad (4.5 ppm) day ~13.5, well above floor 10.</t>
        </is>
      </c>
      <c r="W171" s="12263" t="inlineStr">
        <is>
          <t>leaves+insects; heavy sediment (John) -- autumn leaf drop, lots of surface skimming; canister dominated by whole oak and holly leaves in full colour</t>
        </is>
      </c>
    </row>
    <row r="172">
      <c r="A172" s="12271" t="inlineStr">
        <is>
          <t>2026-09-23</t>
        </is>
      </c>
      <c r="B172" s="12272" t="inlineStr">
        <is>
          <t>19:15</t>
        </is>
      </c>
      <c r="C172" s="12272" t="inlineStr">
        <is>
          <t>DOSE</t>
        </is>
      </c>
      <c r="D172" s="12273" t="n"/>
      <c r="E172" s="12273" t="n"/>
      <c r="F172" s="12273" t="n"/>
      <c r="G172" s="12273" t="n"/>
      <c r="H172" s="12273" t="n">
        <v>15.8</v>
      </c>
      <c r="I172" s="12274" t="n"/>
      <c r="J172" s="12275" t="n"/>
      <c r="K172" s="12275" t="n"/>
      <c r="L172" s="12275" t="n"/>
      <c r="M172" s="12273" t="n">
        <v>1</v>
      </c>
      <c r="N172" s="12273" t="n">
        <v>62</v>
      </c>
      <c r="O172" s="12273" t="n"/>
      <c r="P172" s="12276" t="n"/>
      <c r="Q172" s="12273" t="n"/>
      <c r="R172" s="12273" t="n"/>
      <c r="S172" s="12273" t="n"/>
      <c r="T172" s="827" t="n"/>
      <c r="U172" s="12272" t="n"/>
      <c r="V172" s="827" t="inlineStr">
        <is>
          <t>7:15 PM, 1.0 gal poured as recommended -- a whole bottle (9/16 rule). Season total 62.0 gal. FC right after the pour ~18.0 (14.2 at 31,084 gal plus 1.0 gal = +3.87 ppm), under the safe-swim ceiling of 19. Projected next noon 15.8 (dose.py mean model, l24 2.24); median model 16.3; band 14.7-17.0 (last-20 p20-p90, excluding the 8/20 and 9/10 artifacts); on a bad 4.5 ppm day ~13.5, well above floor 10. *** NOTE FOR TOMORROW'S SCORING: today's test was at 2 PM, so if tomorrow's is back at the usual noon the window will be ~22 h, inside tolerance but on the short side -- the reading should come in slightly ABOVE the projection for that reason alone. *** The pool is now in AUTUMN LEAF DROP (today's canister was dominated by whole leaves). Per the 8/12-13 finding, load does not predict loss, so no demand change is forecast from it; what it does predict is more skimming and fuller canisters.</t>
        </is>
      </c>
      <c r="W172" s="12277" t="n"/>
    </row>
    <row r="173">
      <c r="A173" s="12285" t="inlineStr">
        <is>
          <t>2026-09-24</t>
        </is>
      </c>
      <c r="B173" s="12286" t="inlineStr">
        <is>
          <t>12:25</t>
        </is>
      </c>
      <c r="C173" s="12286" t="inlineStr">
        <is>
          <t>TEST</t>
        </is>
      </c>
      <c r="D173" s="12287" t="n"/>
      <c r="E173" s="12287" t="n">
        <v>18</v>
      </c>
      <c r="F173" s="12287" t="n">
        <v>0.2</v>
      </c>
      <c r="G173" s="12287" t="n">
        <v>0.1</v>
      </c>
      <c r="H173" s="12287" t="n"/>
      <c r="I173" s="12288" t="n">
        <v>2.2</v>
      </c>
      <c r="J173" s="12289" t="n"/>
      <c r="K173" s="12289" t="n"/>
      <c r="L173" s="12289" t="n"/>
      <c r="M173" s="12287" t="n"/>
      <c r="N173" s="12287" t="n"/>
      <c r="O173" s="12287" t="n">
        <v>9</v>
      </c>
      <c r="P173" s="12290" t="n">
        <v>0</v>
      </c>
      <c r="Q173" s="12287" t="n"/>
      <c r="R173" s="12287" t="n">
        <v>65</v>
      </c>
      <c r="S173" s="12287" t="n">
        <v>13.7</v>
      </c>
      <c r="T173" s="1047" t="inlineStr">
        <is>
          <t>Sunny, dry and VERY WINDY again (John), ahead of a NOR'EASTER forecast for the weekend. Feed at 12:45 PM: mainly clear, 64F, 58% RH; sun 5.2h of 6h so far (86%), ~9.4h full day; high 68F, UV max 5.7, 0.00in precip. WATER TEMP 65F -- a new season low, the fourth drop in five days. Level 14.2 -&gt; 13.7 (-98 gal): wind and dry air again.</t>
        </is>
      </c>
      <c r="U173" s="12286" t="inlineStr">
        <is>
          <t>2026-09-24_1.jpg;2026-09-24_2.jpg;2026-09-24_3.jpg;2026-09-24_4.jpg;2026-09-24_5.jpg;2026-09-24_6.jpg</t>
        </is>
      </c>
      <c r="V173" s="1047" t="inlineStr">
        <is>
          <t>12:25 PM. FC 18.0 (90 drops), CC 0.2, temp 65F, level 13.7. Dose row verified first (8/25 rule): 1.0 gal logged 9/23 19:15. *** WINDOW 14:00 -&gt; 12:25 = 22.4 h, which is 1.6 h SHORT of 24 h and therefore outside the 1 h tolerance -- flagged in yesterday's dose row before the reading came in. Mass balance: 14.2 @ 31,084 + 1.0 gal - 18.0 @ 30,986 =&gt; 0.13 ppm over 22.4 h = 0.14 ppm PER 24 H. The column holds the raw balance (0.1) as check_log.py requires. *** THIS IS THE LOWEST DEMAND OF THE SEASON, below 0.2 on 7/27 (9/13's 0.0 was the pump-to-waste day, not comparable). FC right after last night's pour was ~18.07 and today reads 18.0: essentially NOTHING was consumed. Conservation of mass holds with 0.07 ppm to spare, so it is possible, but it sits within a drop of the ceiling -- the same shape as 9/18 (0.3). Not flagged as an error: John's counts have been steady, the tube photo shows a correct 25 mL fill, and the short window is the direction that makes it likelier. *** AUTUMN LOW-DEMAND RUN IS NOW HARD TO MISS: the last ten days average 1.65 ppm/day against the season's 2.27, with two near-zero days (9/18, today) in a week. Cause is physical and expected -- 65F water, a low sun angle, short days. Per the 8/29 rule l24 is NOT re-tuned off a recent window, and under whole-gallon rounding a 0.5 ppm shift rarely changes the pour anyway. Still worth a full-series re-fit conversation with John if it holds into October. *** PREDICTION MISSED HIGH. Stated on the 9/23 DOSE row: dose.py 15.8 (err +2.2), median 16.3 (err +1.7), band 14.7-17.0 -- actual 18.0, 1.0 above the band. Band record 16 of 24 (67%). The short window explains only ~0.15 ppm of it; the rest is the near-zero demand. *** DOSE-CONSTANT CHECK RUN TODAY (because two dosed nights in a row landed at the top of the band): losses on intervals that CONTAIN a dose average 2.19 ppm, on undosed intervals 2.35 (n=39 vs 41). No systematic gap, so 3.84 ppm/gal shows no bias and needs no change. *** CC 0.2, normal. *** ALL ELEVEN PHOTOS OPENED per the 8/24 rule. BEFORE (_1): clear, wind ripple, no floating debris at the time of the shot. Steps/liner (_2): clean, NO metal staining -- THIRTIETH consecutive day. Skimmer ruler (_3). FILTER (_4), ZOOMED: needle a tick above 10, ~11 psi -- ELEVEN DAYS at 11-12 through a week of heavy leaf load. AFTER (_5): clear, clean surface. SAMPLE-VOLUME PHOTO (_6), ZOOMED: fill AT the 25 mL line. *** CANISTER (debris/2026-09-24_1..5.jpg): MEDIUM per John, but dominated by WHOLE LEAVES again -- oak and holly, green through orange and red, plus twigs and a mat of fine leaf litter packed along the mesh (debris/_4). Also several pale segmented grubs or larvae in the litter (debris/_4; NOT identified -- they could equally be moult skins). Exterior panel (debris/_5): moderate fine particulate. Second heavy-leaf day running: the drop is under way and the wind is doing the delivering. *** NO DOSE TONIGHT -- dose.py says SKIP (raw 0.00): FC 18.0 is above aim 15 and under the ceiling of 19; next noon on a bad (4.5 ppm) day ~13.5, well above floor 10. *** NO DOSE ROW, SO TOMORROW'S PREDICTION LIVES HERE: 9/25 noon ~15.8 (dose.py, l24 2.24); median model 16.2; band 14.6-17.4. Given the run of low-demand days, expect the HIGH end. *** NOR'EASTER WATCH (John: 'very windy due to an upcoming nor'easter over the weekend'): expect a heavy leaf load, a rising level, and possibly a lot of rain. Rain dilutes ~0.3 ppm per inch here (9/13 calibration); if the pool needs pumping to waste, that removes chlorine with the water at ~0.27 ppm per 10 minutes (7/06 rate) and the standard mass balance cannot see it -- log the minutes as an EVENT - Waste row, as on 9/13.</t>
        </is>
      </c>
      <c r="W173" s="12291" t="inlineStr">
        <is>
          <t>leaves+insects; medium sediment but heavy leaves (John) -- lots of surface skimming; canister dominated by whole oak and holly leaves, plus pale grubs in the litter</t>
        </is>
      </c>
    </row>
    <row r="174">
      <c r="A174" s="12257" t="inlineStr">
        <is>
          <t>2026-09-25</t>
        </is>
      </c>
      <c r="B174" s="12258" t="inlineStr">
        <is>
          <t>12:45</t>
        </is>
      </c>
      <c r="C174" s="12258" t="inlineStr">
        <is>
          <t>TEST</t>
        </is>
      </c>
      <c r="D174" s="12259" t="n"/>
      <c r="E174" s="12259" t="n">
        <v>16.4</v>
      </c>
      <c r="F174" s="12259" t="n">
        <v>0</v>
      </c>
      <c r="G174" s="12259" t="n">
        <v>1.7</v>
      </c>
      <c r="H174" s="12259" t="n"/>
      <c r="I174" s="12260" t="n">
        <v>0.6</v>
      </c>
      <c r="J174" s="12261" t="n"/>
      <c r="K174" s="12261" t="n"/>
      <c r="L174" s="12261" t="n"/>
      <c r="M174" s="12259" t="n"/>
      <c r="N174" s="12259" t="n"/>
      <c r="O174" s="12259" t="n">
        <v>6</v>
      </c>
      <c r="P174" s="12262" t="n">
        <v>0.11</v>
      </c>
      <c r="Q174" s="12259" t="n"/>
      <c r="R174" s="12259" t="n">
        <v>63</v>
      </c>
      <c r="S174" s="12259" t="n">
        <v>12.9</v>
      </c>
      <c r="T174" s="813" t="inlineStr">
        <is>
          <t>VERY windy and overcast ahead of the nor'easter (John). Feed at 1:30 PM: overcast, 70F, 39% RH; sun 4.9h of 7h so far, ~6.3h full day; high 70F, UV max 4.9; 0.11in of rain already logged today. WATER TEMP 63F -- a new season low, down 2F again and 14F off the late-August plateau. Level 13.7 -&gt; 12.9 at test time (-157 gal, wind and dry air); PUMPED DOWN TO 7.4 straight after the test -- see the EVENT - Waste row.</t>
        </is>
      </c>
      <c r="U174" s="12258" t="inlineStr">
        <is>
          <t>2026-09-25_1.jpg;2026-09-25_2.jpg;2026-09-25_3.jpg;2026-09-25_4.jpg;2026-09-25_5.jpg;2026-09-25_6.jpg</t>
        </is>
      </c>
      <c r="V174" s="813" t="inlineStr">
        <is>
          <t>TIME 12:45 IS FROM THE PHOTO TIMESTAMPS (pool and ruler shots 12:44-12:45, canister 12:57); John gave no time today. Correct it if wrong. FC 16.4 (82 drops), CC 0.0, temp 63F, level 12.9 AT TEST TIME -- before the drain. Dose row verified first (8/25 rule): 1.0 gal logged 9/23 19:15; 9/24 was skipped as recommended, so this interval is UNDOSED. Mass balance: 18.0 @ 30,986 - 16.4 @ 30,829 =&gt; 1.69 ppm/24h -- ordinary, at the last-20 median. The drain is NOT in this figure: it happened after the test (photo evidence: the ruler reads 12.9 at 12:45 and 7.4 at 13:08), so it belongs to the NEXT interval. *** PREDICTION HIT. Stated in the 9/24 row: dose.py 15.8 (err +0.6), median 16.2 (err +0.2), band 14.6-17.4 -- actual 16.4, inside. Band record 17 of 25 (68%). *** CC 0.0. *** ALL ELEVEN PHOTOS OPENED per the 8/24 rule. BEFORE (_1): clear but with a scatter of floating leaves and bits -- John skimmed them and also took leaves off the BOTTOM by hand today. Steps/liner (_2): clean, NO metal staining -- THIRTY-FIRST consecutive day. Skimmer ruler before (_3, _4) and after the drain (_6, ZOOMED: waterline at ~7.4). AFTER (_5, 13:07): clear, clean surface, the dog on the deck, and the lower waterline plainly visible. NO FILTER-GAUGE PHOTO today (it read ~11 psi for eleven straight days through 9/24). *** CANISTER (debris/2026-09-25_1..5.jpg): MEDIUM per John (8/25 rule), leaf-dominated for the third day running -- oak and holly, green through yellow, with fine litter packed along the mesh. Also: an ORANGE-BROWN INSECT among the leaves (debris/_2; a nymph or small beetle, NOT identified), long thin legs of a crane fly or harvestman (debris/_2, NOT identified), a pale segmented grub, a pinkish-tan bean-shaped item (an acorn kernel or seed, NOT identified), and several GREY ROUNDED BALLS with segment lines (debris/_4) -- these are ROLLED PILL BUGS, the shape that looks like a snail shell in photos; called out because of the 8/31 acorn lesson. Exterior panel (debris/_5): moderate fine particulate. *** NO DOSE TONIGHT -- FC 16.4 is above aim 15 and under the ceiling of 19; skipping leaves ~11.9 even on a bad (4.5 ppm) day, above floor 10. *** 🔴 THE POOL IS NOW ~29,750 GAL, NOT ~31,400 (level 7.4). One gallon of chlorine now raises FC by ~4.05 ppm, not 3.84 -- about 5% more. dose.py's constant is fixed, so until rain refills the pool, SIZE DOSES BY HAND: raw gal = (15 + 2.24 - FC) / 4.05. Tonight that gives 0.21, i.e. skip either way. *** NO DOSE ROW, SO TOMORROW'S PREDICTION LIVES HERE: 9/26 noon ~14.2 (mean model), median 14.6, band 13.0-15.8 -- BEFORE any rain dilution, and the nor'easter is forecast to land tonight. Rain dilutes ~0.3 ppm per inch at full volume, and MORE now that the pool is smaller: on 29,750 gal, an inch on 800 sq ft is ~500 gal, about 1.7% =&gt; ~0.27 ppm per inch. *** 🔴 TOMORROW'S fc_loss COLUMN WILL BE INFLATED BY THE DRAIN, unavoidably: check_log.py's mass balance uses each day's logged level, so it will compare a 30,829-gal pool against a post-drain one and book the chlorine that went down the drain (~0.58 ppm) as demand. Same known limitation as 9/13. Subtract ~0.6 when reading tomorrow's number.</t>
        </is>
      </c>
      <c r="W174" s="12263" t="inlineStr">
        <is>
          <t>leaves+pillbugs+insects; medium sediment, heavy leaves (John) -- skimmed the surface and pulled leaves off the bottom by hand; canister leaf-dominated with rolled pill bugs and an unidentified orange-brown insect</t>
        </is>
      </c>
    </row>
    <row r="175">
      <c r="A175" s="12264" t="inlineStr">
        <is>
          <t>2026-09-25</t>
        </is>
      </c>
      <c r="B175" s="12265" t="inlineStr">
        <is>
          <t>12:45-13:05</t>
        </is>
      </c>
      <c r="C175" s="12265" t="inlineStr">
        <is>
          <t>EVENT - Waste</t>
        </is>
      </c>
      <c r="D175" s="12266" t="n"/>
      <c r="E175" s="12266" t="n"/>
      <c r="F175" s="12266" t="n"/>
      <c r="G175" s="12266" t="n"/>
      <c r="H175" s="12266" t="n"/>
      <c r="I175" s="12267" t="n"/>
      <c r="J175" s="12268" t="n"/>
      <c r="K175" s="12268" t="n"/>
      <c r="L175" s="12268" t="n"/>
      <c r="M175" s="12266" t="n"/>
      <c r="N175" s="12266" t="n"/>
      <c r="O175" s="12266" t="n"/>
      <c r="P175" s="12269" t="n"/>
      <c r="Q175" s="12266" t="n"/>
      <c r="R175" s="12266" t="n"/>
      <c r="S175" s="12266" t="n"/>
      <c r="T175" s="820" t="n"/>
      <c r="U175" s="12265" t="n"/>
      <c r="V175" s="820" t="inlineStr">
        <is>
          <t>PUMPED TO WASTE FOR EXACTLY 20 MINUTES, timed by John, immediately after the noon test and ahead of the nor'easter -- the 8/03 practice of draining before the level gets high, done deliberately this time. Level 12.9 -&gt; 7.4 cm by the ruler (photos 2026-09-25_4.jpg at 12:45 and _6.jpg at 13:08). *** THIS IS THE FIRST MEASURED PUMP-TO-WASTE RATE OF THE SEASON, and it replaces an estimate that had stood since 7/06: 5.5 cm x 196.3 gal/cm = 1,080 GALLONS IN 20 MINUTES = 54.0 GPM. The old figure was 'roughly 50 GPM', flagged as rough every time it was used. The measurement is clean: John timed the pump exactly, and both levels are photographed. Practical form: about 540 gal, or 1.8% of this pool, per 10 minutes. *** CHLORINE: draining does NOT change FC concentration -- water and chlorine leave together, so the 16.4 reading is unaffected. What leaves is chlorine MASS: 1,080 gal at 16.4 ppm. In next-noon mass-balance terms that is ~0.58 ppm which the standard formula cannot see and will book as demand (see the TEST row). Rule of thumb at this FC: ~0.29 ppm of apparent loss per 10 minutes of pumping. *** REVISION TO 9/13: that day's 9-10 minutes was logged as ~475 gal (range 285-570) using the old ~50 GPM guess. At the measured 54.0 GPM it is ~513 gal, so the chemical-demand estimate for 9/13 moves from about -0.2 to about -0.23 ppm. The conclusion there is unchanged: essentially zero demand on the coolest, rainiest day of the season. *** VOLUME NOW ~29,750 GAL until rain refills it; 1 gal of chlorine is worth ~4.05 ppm rather than 3.84. See the TEST row for how to size a dose in the meantime. *** The multiport waste port bypasses the D.E. filter, so this is NOT a backwash and does NOT strip the DE (9/01 filter entry).</t>
        </is>
      </c>
      <c r="W175" s="12270" t="n"/>
    </row>
    <row r="176">
      <c r="A176" s="12271" t="inlineStr">
        <is>
          <t>2026-09-25</t>
        </is>
      </c>
      <c r="B176" s="12272" t="inlineStr">
        <is>
          <t>17:40</t>
        </is>
      </c>
      <c r="C176" s="12272" t="inlineStr">
        <is>
          <t>DOSE</t>
        </is>
      </c>
      <c r="D176" s="12273" t="n"/>
      <c r="E176" s="12273" t="n"/>
      <c r="F176" s="12273" t="n"/>
      <c r="G176" s="12273" t="n"/>
      <c r="H176" s="12273" t="n">
        <v>22.3</v>
      </c>
      <c r="I176" s="12274" t="n"/>
      <c r="J176" s="12275" t="n"/>
      <c r="K176" s="12275" t="n"/>
      <c r="L176" s="12275" t="n"/>
      <c r="M176" s="12273" t="n">
        <v>2</v>
      </c>
      <c r="N176" s="12273" t="n">
        <v>64</v>
      </c>
      <c r="O176" s="12273" t="n"/>
      <c r="P176" s="12276" t="n"/>
      <c r="Q176" s="12273" t="n"/>
      <c r="R176" s="12273" t="n"/>
      <c r="S176" s="12273" t="n"/>
      <c r="T176" s="827" t="n"/>
      <c r="U176" s="12272" t="n"/>
      <c r="V176" s="827" t="inlineStr">
        <is>
          <t>5:40 PM, 2.0 GALLONS poured -- a deliberate STORM/OUTAGE BUFFER, not a routine dose, and the largest pour since 2.5 gal on 7/28. Season total 64.0 gal. *** WHY THE USUAL CEILING DOES NOT APPLY: the 19 ppm safe-swim ceiling is a SWIMMING limit, and John says there will be no more swimming this season -- the pool closes in about 10 days. FC after the pour ~24.5 (16.4 plus 2 gal at ~4.05 ppm/gal in the drained ~29,750 gal pool; at the pre-drain 3.84 it would have been ~24.1). That is ~17% of CYA 148, far below any SLAM level (~40% of CYA) and harmless to a vinyl liner. *** THE REASONING IS JOHN'S AND IT IS SOUND: a nor'easter arrives late Saturday with a real chance of losing power, which means NO CIRCULATION and no robot; the pool is filling with leaves that must be cleared before the pump can run properly; and he has only these 2 gallons until he buys a case for closing. Dosing high NOW, while the pump still runs, means nothing has to be done in the storm. Advice given and followed: pour slowly along the perimeter and run the pump about an hour afterwards, so the chlorine is mixed before any outage -- pouring into a still pool risks a concentrated layer sitting on the liner. *** EXPECTED TRACK (l24 2.24/day plus modest rain dilution): Sat 9/26 ~22, Sun 9/27 ~20-21, Mon 9/28 ~19-20, Wed 9/30 ~16. Next chlorine need is therefore around Wednesday, which lines up with buying the closing case. Logged 'Pred next-noon FC' 22.3 = the model figure with NO dilution; expect 0.3-0.8 lower depending on how much rain actually lands (~0.27 ppm per inch at this volume). *** 🔴 TOMORROW'S fc_loss COLUMN WILL READ ~0.6 TOO HIGH. Today's 20-minute pump-to-waste (see the EVENT - Waste row) removed 1,080 gal AFTER the noon test, and check_log.py's mass balance uses the logged noon level (12.9), so the chlorine that went down the drain gets booked as demand. Subtract ~0.6. Rain, by contrast, is handled correctly by the mass balance -- dilution preserves chlorine mass. *** TESTING NOTE for the high-FC stretch: at FC ~24 a 25 mL sample needs ~122 drops. A 10 mL sample (each drop = 0.5 ppm, ~49 drops) is the standard alternative and saves reagent for closing. If John switches sample size, the drops-to-ppm conversion changes -- he will say which he used.</t>
        </is>
      </c>
      <c r="W176" s="12277" t="n"/>
    </row>
    <row r="177">
      <c r="A177" s="12285" t="inlineStr">
        <is>
          <t>2026-09-26</t>
        </is>
      </c>
      <c r="B177" s="12286" t="n"/>
      <c r="C177" s="12286" t="inlineStr">
        <is>
          <t>EVENT - No test</t>
        </is>
      </c>
      <c r="D177" s="12287" t="n"/>
      <c r="E177" s="12287" t="n"/>
      <c r="F177" s="12287" t="n"/>
      <c r="G177" s="12287" t="n"/>
      <c r="H177" s="12287" t="n"/>
      <c r="I177" s="12288" t="n"/>
      <c r="J177" s="12289" t="n"/>
      <c r="K177" s="12289" t="n"/>
      <c r="L177" s="12289" t="n"/>
      <c r="M177" s="12287" t="n"/>
      <c r="N177" s="12287" t="n"/>
      <c r="O177" s="12287" t="n"/>
      <c r="P177" s="12290" t="n">
        <v>1.03</v>
      </c>
      <c r="Q177" s="12287" t="n"/>
      <c r="R177" s="12287" t="n"/>
      <c r="S177" s="12287" t="n"/>
      <c r="T177" s="1047" t="inlineStr">
        <is>
          <t>NOR'EASTER. Feed: 1.03in of rain, ZERO hours of sun, UV max 1.7, high 60.9F.</t>
        </is>
      </c>
      <c r="U177" s="12286" t="n"/>
      <c r="V177" s="1047" t="inlineStr">
        <is>
          <t>NO TEST TODAY -- DECLARED, John's call in the storm: 'will likely hold off on testing water today.. going to stick to skimming leaves when i can and that's about it.' THE FIRST UNTESTED DAY OF THE SEASON; the calendar has been unbroken since 6/19. *** This row exists so the gap is VISIBLE rather than silent: check_log.py's calendar check was extended the same day to accept a declared skip (type 'EVENT - No test') and report it as a warning, instead of failing as it would for a day that went missing by accident. See POOL.md. *** NO CHEMISTRY IS INFERRED FOR TODAY and nothing is carried forward. The 9/25 DOSE row's 'Pred next-noon FC' of 22.3 was for this noon and CANNOT BE SCORED -- it is left unscored rather than compared against a later reading. *** Cover was adequate without attention: FC was ~24.5 after the 2.0 gal storm buffer poured 9/25, so the pool sat well above the floor with no circulation needed. Rain also began refilling what the 20-minute drain took out.</t>
        </is>
      </c>
      <c r="W177" s="12291" t="n"/>
    </row>
    <row r="178">
      <c r="A178" s="12292" t="inlineStr">
        <is>
          <t>2026-09-27</t>
        </is>
      </c>
      <c r="B178" s="12293" t="inlineStr">
        <is>
          <t>16:15</t>
        </is>
      </c>
      <c r="C178" s="12293" t="inlineStr">
        <is>
          <t>TEST</t>
        </is>
      </c>
      <c r="D178" s="12294" t="n"/>
      <c r="E178" s="12294" t="n">
        <v>20</v>
      </c>
      <c r="F178" s="12294" t="n">
        <v>0</v>
      </c>
      <c r="G178" s="12294" t="n">
        <v>1.9</v>
      </c>
      <c r="H178" s="12294" t="n"/>
      <c r="I178" s="12295" t="n"/>
      <c r="J178" s="12296" t="n"/>
      <c r="K178" s="12296" t="n"/>
      <c r="L178" s="12296" t="n"/>
      <c r="M178" s="12294" t="n"/>
      <c r="N178" s="12294" t="n"/>
      <c r="O178" s="12294" t="n">
        <v>0</v>
      </c>
      <c r="P178" s="12297" t="n">
        <v>0.06</v>
      </c>
      <c r="Q178" s="12294" t="n"/>
      <c r="R178" s="12294" t="n">
        <v>63</v>
      </c>
      <c r="S178" s="12294" t="n">
        <v>10.3</v>
      </c>
      <c r="T178" s="1199" t="inlineStr">
        <is>
          <t>Nor'easter, second day; John tested in a break in the rain. Feed at 4:30 PM: overcast, 62F, 87% RH, UV max 0.7, 0.06in today so far after 1.03in yesterday; SUN 0.0h of 10h daylight today and 0.0h yesterday -- two days with no sun at all. Water temp 63F. Level 7.4 (after the 9/25 drain) -&gt; 10.3: RAIN REFILLED +569 gal.</t>
        </is>
      </c>
      <c r="U178" s="12293" t="inlineStr">
        <is>
          <t>2026-09-27_1.jpg;2026-09-27_2.jpg;2026-09-27_3.jpg;2026-09-27_4.jpg;2026-09-27_5.jpg</t>
        </is>
      </c>
      <c r="V178" s="1199" t="inlineStr">
        <is>
          <t>4:15 PM (John). FC 20.0 (100 drops, 25 mL), CC 0.0, temp 63F, level 10.3. Dose row verified first (8/25 rule): 2.0 gal logged 9/25 17:40; nothing since, and John has no chlorine left until he buys the closing case. *** TWO-DAY WINDOW, because 9/26 was a declared no-test day (see that row). 9/25 12:45 -&gt; 9/27 16:15 is 51.5 h. Full accounting, drain included: 16.4 ppm in 30,829 gal, MINUS the 1,080 gal pumped to waste at 16.4 (chlorine leaves with the water; concentration unchanged), PLUS 2.0 gal of chlorine, versus 20.0 ppm in 30,318 gal now =&gt; 4.07 ppm over the window = 1.90 PPM PER 24 H. Logged in the column as 1.9. ORDINARY -- right at the last-20 median, through the worst weather of the season. check_log.py does not recompute this one (its formula needs a previous-day TEST row, and 9/26 has none), so it is stated here in full instead. *** LOAD DID NOT DRIVE DEMAND, AGAIN: a nor'easter, 'LOTS AND LOTS of leaves and twigs', and demand still landed at the median. Consistent with the 8/12-13 finding; no story is offered. Two days with zero sun is the obvious reason it was not higher. *** THE MULTI-DAY PROJECTION HELD. On 9/25 Claude stated a track from the 2.0 gal pour: Sat ~22, Sun ~20-21, Mon ~19-20. Today, Sunday, read 20.0 at 4 PM -- inside the stated range, at its low edge, and four hours later than noon, which accounts for a little of that. No formal band was quoted for a multi-day gap, so this is recorded as a qualitative hit, not counted in the band record. *** RAIN: THE RULER AND THE FEED AGREE THIS TIME. Ruler +2.9 cm = +569 gal = ~1.14in over the pool; feed 1.03in (9/26) + 0.06in (so far today) = ~1.09in. After 9/13 (ruler 4x the feed) and 9/20 (ruler a third of it), a clean match -- the 8/03 rule stands as 'trust the ruler', but the feed is not always wrong. Dilution is handled correctly by the mass balance. *** THE DRAIN IS ALREADY HALF REFILLED: 7.4 -&gt; 10.3 of the 5.5 cm removed. More rain is forecast overnight into tomorrow. Pool volume back to ~30,320 gal, so a gallon of chlorine is worth ~3.97 ppm (it was 4.05 at the low point, 3.84 at full). *** ALL FIVE PHOTOS OPENED per the 8/24 rule. SURFACE/BOTTOM (_1): scattered floating leaves and a DARK MASS OF SUNKEN LEAVES on the floor mid-pool -- the storm's delivery; water itself still clear. Skimmer ruler (_2). SAMPLE-VOLUME PHOTO (_3), ZOOMED: fill AT the 25 mL line. FILTER (_4), ZOOMED: ~10 psi, a touch BELOW the 11-12 of the last two weeks. Not a concern in either direction -- pressure falling is never a filter fault, and a lower water level slightly reduces the head. AFTER (_5, IN PROGRESS): John says the vacuum was still running; the sunken leaf mass is visibly smaller but not gone. No canister photos yet. *** NO DOSE TONIGHT: FC 20.0 is far above aim 15, and even a 4.5 ppm day leaves 15.5. John is also out of chlorine until the closing case arrives. *** TOMORROW'S PREDICTION LIVES HERE: 9/28 noon ~17.8 (dose.py, l24 2.24), median model ~18.3, before dilution; more overnight rain would take ~0.27 ppm per inch off that. *** CLOSING is about a week out (John, 9/25: 'we are 10 days or so away').</t>
        </is>
      </c>
      <c r="W178" s="12298" t="inlineStr">
        <is>
          <t>leaves+storm; VERY heavy leaves and twigs (John) -- nor'easter; surface skimmed and sunken leaves vacuumed, canister not pulled yet</t>
        </is>
      </c>
    </row>
    <row r="179">
      <c r="A179" s="12285" t="inlineStr">
        <is>
          <t>2026-09-28</t>
        </is>
      </c>
      <c r="B179" s="12286" t="inlineStr">
        <is>
          <t>12:15</t>
        </is>
      </c>
      <c r="C179" s="12286" t="inlineStr">
        <is>
          <t>TEST</t>
        </is>
      </c>
      <c r="D179" s="12287" t="n"/>
      <c r="E179" s="12287" t="n">
        <v>16.2</v>
      </c>
      <c r="F179" s="12287" t="n">
        <v>0</v>
      </c>
      <c r="G179" s="12287" t="n">
        <v>3.6</v>
      </c>
      <c r="H179" s="12287" t="n"/>
      <c r="I179" s="12288" t="n"/>
      <c r="J179" s="12289" t="n"/>
      <c r="K179" s="12289" t="n"/>
      <c r="L179" s="12289" t="n"/>
      <c r="M179" s="12287" t="n"/>
      <c r="N179" s="12287" t="n"/>
      <c r="O179" s="12287" t="n">
        <v>0</v>
      </c>
      <c r="P179" s="12290" t="n">
        <v>0.1</v>
      </c>
      <c r="Q179" s="12287" t="n"/>
      <c r="R179" s="12287" t="n">
        <v>62</v>
      </c>
      <c r="S179" s="12287" t="n">
        <v>12.3</v>
      </c>
      <c r="T179" s="1047" t="inlineStr">
        <is>
          <t>Overcast, drizzle, raining again by early afternoon. Feed at 12:45 PM: 58F, 90% RH, UV max 0.6, 0.10in today; SUN 0.0h -- the THIRD DAY RUNNING with no sun at all (9/26, 9/27, 9/28). Water temp 62F, a new season low. Level 10.3 -&gt; 12.3 (+393 gal) as the rain keeps refilling what the 9/25 drain took out.</t>
        </is>
      </c>
      <c r="U179" s="12286" t="inlineStr">
        <is>
          <t>2026-09-28_1.jpg;2026-09-28_2.jpg;2026-09-28_3.jpg;2026-09-28_4.jpg;2026-09-28_5.jpg;2026-09-28_6.jpg;2026-09-28_7.jpg</t>
        </is>
      </c>
      <c r="V179" s="1047" t="inlineStr">
        <is>
          <t>12:15 PM, with a retest shortly after (exact time not given). FC OF RECORD 16.2 (81 drops) FROM THE RETEST, CC 0.0 in both tests, temp 62F, level 12.3. Dose row verified first (8/25 rule): 2.0 gal on 9/25 17:40, nothing since -- John is out of chlorine until the closing case. *** JOHN ASKED THE RIGHT QUESTION AND RAN THE RIGHT TEST. First reading 78 drops (15.6) looked low against the forecast, he asked whether to retest, and Claude said yes -- 15.6 implied ~5.0 ppm/24h, which would have been the season's second-highest. RETEST: 81 drops (16.2), with powder deliberately ample, and CC 0.0 again. *** THE FIRST READING WAS NOT A MISCOUNT. 78 vs 81 is a THREE-DROP spread, squarely inside John's normal repeatability (87/87 on 9/10, 58/57 on 7/19, 74/77 on 9/19). The 8/07 whole-ten mode would have shown up as ~10 drops; it did not. Value of record is the retest per the 9/14 tie-break (when powder is the suspect, the ample-powder reading is the better one, because powder errors only read low), but the two agree within 0.6 ppm and either would tell the same story. *** SO THE HIGH DEMAND IS REAL: 20.0 @ 30,318 - 16.2 @ 30,711 =&gt; 3.57 ppm over a 20.0 h window (9/27 16:15 -&gt; 12:15) = 4.28 PPM PER 24 H. The column holds the raw balance (3.6), as check_log.py requires. That is the 8th-highest day of 89 this season, and it comes in a week that had been running 1-2. *** CLAUDE WAS WRONG ABOUT THE CC HINT, AND THE CHEMISTRY EXPLAINS WHY. When the 15.6 came in, Claude told John that CC 0.0 'argues against a real spike', citing 7/10 where a big demand day came with CC 0.8. That reasoning does not transfer. COMBINED CHLORINE FORMS FROM NITROGEN -- ammonia and amines, i.e. the dog, swimmers, a decomposing animal. LEAF LITTER IS CARBON: tannins, cellulose and pectin consume free chlorine by oxidation and leave NO chloramine behind. So a heavy leaf load is exactly the case where demand rises and CC stays flat. CC 0.0 was never evidence against this day's demand. *** WHAT DROVE IT -- CANDIDATE, NOT A CLAIM: the nor'easter's leaf mass. The 9/27 row logged a dark mat of sunken leaves on the pool floor; today John vacuumed and hand-cleaned it out, which also stirs it through the water, and the canister came out the heaviest of the season. Timing fits. Held as a candidate because load class has repeatedly FAILED to predict loss (8/12-13), and because the same storm's leaves sat in the pool through 9/26-9/27 when demand averaged an ordinary 1.9/day. What can be said plainly: the reading is confirmed, the demand is real, and this is the day the leaves were disturbed and removed. *** PREDICTION MISSED LOW. Stated in the 9/27 row: dose.py 17.8, median 18.2, band 16.6-18.9 -- actual 16.2, 0.4 below the band. Band record 17 of 26 (65%). The mean model was the closer of the two. *** ALL TWELVE PHOTOS OPENED per the 8/24 rule. BEFORE (_1): water clear, a few floating leaves, some litter still on the floor. FILTER (_2), ZOOMED: ~10 psi, same as yesterday and a touch below the 11-12 of mid-month -- no rise despite the heaviest canister of the season, as expected: leaves are caught by the canister and skimmer, not the D.E. grids. AFTER (_3, _7): 'pool is pretty clean now after!' (John) -- and it is; clear water, clean floor, rain dimpling the surface. Skimmer ruler (_4, _6). SAMPLE-VOLUME PHOTO (_5), ZOOMED: fill AT the 25 mL line. *** CANISTER (debris/2026-09-28_1..5.jpg): THE HEAVIEST OF THE SEASON. The basket is PACKED with whole oak and holly leaves, twigs and stems, with a dense mat of fine brown litter worked into every mesh panel (debris/_3, _4); many leaves are skeletonised. One shrivelled brown item among the leaves is NOT identified (a rolled leaf or a worm are both possible). Exterior panel (debris/_5): heavily coated, the most fine material seen on it. John: 'very heavy today again.. but pool is pretty clean now after! did a lot of cleaning work.' *** NO DOSE: FC 16.2 is above aim 15, and there is no chlorine on hand anyway. Even a 4.5 ppm day leaves 11.7, above floor 10. *** TOMORROW'S PREDICTION LIVES HERE: 9/29 noon ~14.0 (dose.py, l24 2.24), median model 14.3, band 12.6-15.1 -- and if the leaf demand persists it will land at or below the low edge. More rain is falling now; dilution runs ~0.26 ppm per inch at this volume (~30,700 gal, 1 gal of chlorine = 3.92 ppm). *** CLOSING is about a week out; the chlorine case will be wanted before then. *** 🔴 WITHDRAWN 2026-09-30 -- THIS DAY'S 4.28 ppm/24h IS NOT SUPPORTED. The paired DPD test on 9/30 measured the old container reading 3.2 ppm LOW (76 drops old vs 92 new on the same water), and the bias varies from test to test near the bottom of a container. Both of this day's readings (78 and 81 drops) came from that container, so the 16.2 is an under-read of unknown size and the loss computed from it is unreliable. The leaf explanation built on it is withdrawn with it: there is no longer a measured spike to explain. Claude's earlier framing -- 'the retest settled it', 'the demand is real' -- was wrong, because a replicate through the same bad reagent is not independent evidence. The reading is NOT withheld (unlike 9/06 and 9/29) because nothing about it is provably impossible; it is simply biased low along with the rest of the 9/26-9/29 stretch. See the 9/30 row.</t>
        </is>
      </c>
      <c r="W179" s="12291" t="inlineStr">
        <is>
          <t>leaves+storm; VERY HEAVY (John) -- heaviest canister of the season after the nor'easter; whole oak and holly leaves, twigs, dense fine litter; pool clean afterwards</t>
        </is>
      </c>
    </row>
    <row r="180">
      <c r="A180" s="12292" t="inlineStr">
        <is>
          <t>2026-09-29</t>
        </is>
      </c>
      <c r="B180" s="12293" t="inlineStr">
        <is>
          <t>12:30</t>
        </is>
      </c>
      <c r="C180" s="12293" t="inlineStr">
        <is>
          <t>TEST</t>
        </is>
      </c>
      <c r="D180" s="12294" t="n"/>
      <c r="E180" s="12294" t="n"/>
      <c r="F180" s="12294" t="n">
        <v>0</v>
      </c>
      <c r="G180" s="12294" t="n"/>
      <c r="H180" s="12294" t="n"/>
      <c r="I180" s="12295" t="n"/>
      <c r="J180" s="12296" t="n"/>
      <c r="K180" s="12296" t="n"/>
      <c r="L180" s="12296" t="n"/>
      <c r="M180" s="12294" t="n"/>
      <c r="N180" s="12294" t="n"/>
      <c r="O180" s="12294" t="n">
        <v>9</v>
      </c>
      <c r="P180" s="12297" t="n">
        <v>0</v>
      </c>
      <c r="Q180" s="12294" t="n"/>
      <c r="R180" s="12294" t="n">
        <v>63</v>
      </c>
      <c r="S180" s="12294" t="n">
        <v>12.4</v>
      </c>
      <c r="T180" s="1199" t="inlineStr">
        <is>
          <t>Clear and dry, the first sun in four days. Feed at 3:15 PM: clear, 70F, 64% RH; sun 7.8h of 9h daylight (86%), ~9h full day; high 70F, UV max 4.8, 0.00in precip. Water temp 63F, up 1F. Level 12.3 -&gt; 12.4 (+20 gal).</t>
        </is>
      </c>
      <c r="U180" s="12293" t="inlineStr">
        <is>
          <t>2026-09-29_1.jpg;2026-09-29_2.jpg;2026-09-29_3.jpg;2026-09-29_10.jpg;2026-09-29_11.jpg</t>
        </is>
      </c>
      <c r="V180" s="1199" t="inlineStr">
        <is>
          <t>12:30 PM. 🔴 FC WITHHELD -- the reading is provably impossible and no valid one is available today. John measured 84 drops (16.8); yesterday's value of record was 16.2 with NO DOSE SINCE 9/25. FC CANNOT RISE WITHOUT CHLORINE: with today's slightly higher level the ceiling is 16.19 even at zero demand, so 16.8 cannot be true. Same physics as 9/06, and the same treatment -- withheld, declared, excluded from the loss series rather than recorded as a number the log would carry forever. fc_loss is left blank for the same reason. *** CAUSE, MOST LIKELY: THE DPD POWDER IS AT THE BOTTOM OF THE CONTAINER AGAIN (John, unprompted: 'i am at the bottom of my DPD powder container again'). Precedent is direct: on 9/07 the last of an old container read 83 drops and a FRESH container read 87 on the same water, 0.8 ppm apart; on 8/20 a near-empty container read ~2 ppm low. Too little powder reads LOW, never high, so a shrinking amount of powder biases readings DOWNWARD and by a varying amount -- which is exactly how yesterday's 16.2 and today's 16.8 can cross. *** JOHN'S OWN CANDIDATE FOR YESTERDAY, AND IT POINTS THE SAME WAY: 'yesterday was also VERY rainy outside.. i ended up going inside to do that so it is possible things were thrown off by the extra water/rain.' Rainwater in the sample dilutes it, which also reads LOW. Both mechanisms push the same direction, and they would make YESTERDAY the under-read rather than today the over-read. *** THAT PUTS YESTERDAY'S 4.28 ppm/24h 'HIGH DEMAND' DAY IN DOUBT, and with it the leaf explanation attached to it. Claude also told John on 9/28 that the retest 'settled it' -- WRONG: the retest was run in the same rain with the same powder, so it could carry the same error. A replicate under identical conditions is not independent of a systematic error, the same lesson as FC-and-CC-from-one-titration (9/19). *** CC 0.0 RECORDED, not blanked (9/19 rule: the doubtful CC is John's measurement and his call). It is from the same titration as the withheld FC, so treat it as uncertain. *** PLAN, PRE-REGISTERED BEFORE THE TEST: the new DPD container arrives 9/30. John runs a PAIRED TEST on the same sample -- last of the OLD powder, then the NEW -- exactly as on 9/07, and reports both drop counts plus CC. Decision rule stated in advance: if the new powder reads AT OR BELOW ~16.0, yesterday's 16.2 stands and today's 84 drops was the error; if it reads ABOVE 16.2, the recent readings were biased low, and the 9/28 entry and its leaf story get revised. *** ALSO NOTED, not as a claim: John's first message today said 74 drops (14.8) before he corrected it to 84. 74 would fit the physics exactly -- an ordinary 1.4 ppm/24h loss -- while 84 does not fit at all. Worth checking against what he wrote down. *** ALL ELEVEN PHOTOS OPENED per the 8/24 rule. Pool (_1, _2): clear and clean, the storm debris gone. Skimmer ruler (_3). FILTER (_10), ZOOMED: ~10 psi, unchanged for four days. AFTER (_11): clear, clean floor. *** CANISTER (debris/2026-09-29_1..6.jpg): LIGHT, as John said, and a sharp drop from yesterday's packed basket -- the storm load has been cleared out. Contents: scattered oak and holly leaves with fine litter along the mesh; PILL BUGS; a wasp- or bee-like insect and several small beetles (debris/_6); a small orange-brown CENTIPEDE or millipede, curled; a pale pink-tan curved segmented body on a leaf (debris/_5) -- most consistent with an EARTHWORM, not confirmed; and SEVERAL SMALL PALE COILED SHELLS with a visible spiral (debris/_4, _6), most consistent with SMALL SNAIL SHELLS. The snail call is flagged as probable rather than asserted, deliberately, because of the 8/31 acorn correction -- but here a spiral whorl is actually visible, which the acorn never had. *** NO DOSE: no chlorine on hand until the closing case, and whatever the true FC is (somewhere near 15-16), it is far above the floor. *** NO PREDICTION IS SCORED TODAY and none is issued for tomorrow beyond this: with no dose and ordinary demand, expect roughly 14-15 by the new powder. Closing is about a week out.</t>
        </is>
      </c>
      <c r="W180" s="12298" t="inlineStr">
        <is>
          <t>leaves+pillbugs+insects+earthworms; light (John) -- storm load cleared; leaves, pill bugs, a wasp-like insect, beetles, a probable earthworm, several probable small snail shells</t>
        </is>
      </c>
    </row>
    <row r="181">
      <c r="A181" s="12285" t="inlineStr">
        <is>
          <t>2026-09-30</t>
        </is>
      </c>
      <c r="B181" s="12286" t="inlineStr">
        <is>
          <t>13:30</t>
        </is>
      </c>
      <c r="C181" s="12286" t="inlineStr">
        <is>
          <t>TEST</t>
        </is>
      </c>
      <c r="D181" s="12287" t="n"/>
      <c r="E181" s="12287" t="n">
        <v>18.4</v>
      </c>
      <c r="F181" s="12287" t="n">
        <v>0</v>
      </c>
      <c r="G181" s="12287" t="n"/>
      <c r="H181" s="12287" t="n"/>
      <c r="I181" s="12288" t="n"/>
      <c r="J181" s="12289" t="n"/>
      <c r="K181" s="12289" t="n"/>
      <c r="L181" s="12289" t="n"/>
      <c r="M181" s="12287" t="n"/>
      <c r="N181" s="12287" t="n"/>
      <c r="O181" s="12287" t="n">
        <v>7</v>
      </c>
      <c r="P181" s="12290" t="n">
        <v>0</v>
      </c>
      <c r="Q181" s="12287" t="n"/>
      <c r="R181" s="12287" t="n">
        <v>64</v>
      </c>
      <c r="S181" s="12287" t="n">
        <v>12</v>
      </c>
      <c r="T181" s="1047" t="inlineStr">
        <is>
          <t>Mainly clear. Feed at 1:30 PM: 67F, 73% RH; sun 4.6h of 8h so far (57%), ~7h full day; high 68F, UV max 5.4, 0.00in precip. Water temp 64F, up 1F. Level 12.4 -&gt; 12.0 (-79 gal).</t>
        </is>
      </c>
      <c r="U181" s="12286" t="inlineStr">
        <is>
          <t>2026-09-30_1.jpg;2026-09-30_2.jpg;2026-09-30_3.jpg;2026-09-30_4.jpg;2026-09-30_5.jpg;2026-09-30_6.jpg;2026-09-30_7.jpg;2026-09-30_8.jpg;2026-09-30_9.jpg;2026-09-30_10.jpg;2026-09-30_11.jpg;2026-09-30_12.jpg;2026-09-30_13.jpg;2026-09-30_14.jpg</t>
        </is>
      </c>
      <c r="V181" s="1047" t="inlineStr">
        <is>
          <t>🔬 THE PAIRED DPD TEST -- AND IT EXPLAINS THE WHOLE WEEK. John ran both containers on the same water, as planned: OLD powder 76 drops = 15.2; NEW powder 92 drops = 18.4; CC 0.0 on both. THE OLD CONTAINER READ 16 DROPS -- 3.2 ppm -- LOW. FC OF RECORD 18.4 (new powder). John: 'i don't know what this means.. but i am out of the old powder now.' *** THE PRE-REGISTERED RULE DECIDED IT. The 9/29 row stated the test and the decision rule BEFORE the result: at or below ~16.0 meant yesterday's 16.2 stood; above 16.2 meant the recent readings were biased low. It came in at 18.4, so the second branch holds, and the reading Claude called impossible on 9/29 (16.8 with the old powder) was not John miscounting -- it was the reagent. *** SCALE OF THE ERROR, IN CONTEXT: 8/20 a near-empty container read ~2 ppm low; 9/07's paired test at the last of a container read 0.8 ppm low; today 3.2 ppm, the largest yet and FOUR TIMES the 9/07 figure. The bias also VARIES from test to test near the bottom -- the scoop picks up whatever is left -- which is why measured FC bounced 16.2 (9/28) -&gt; 16.8 (9/29) while the true value was falling. A varying bias corrupts not just levels but DAY-TO-DAY DIFFERENCES, i.e. the loss series itself. *** WHAT IS WITHDRAWN. (1) The 9/28 'high demand day' of 4.28 ppm/24h -- computed from two old-powder readings -- IS NO LONGER SUPPORTED, and the leaf explanation attached to it goes with it. See the note added to that row. (2) The 9/29 reading stays withheld, now with a known cause. (3) The loss figures from roughly 9/26 through 9/29 should be read as unreliable; exactly when the container crossed into the bad zone is UNKNOWN, so no back-correction is attempted. Reconstructing 'true' values from an unmeasured, varying bias would be inventing data. *** WHAT IS RELIABLE: today's 18.4, from a fresh container. The loss series restarts from here, and tomorrow's balance will be the first trustworthy one since 9/25. *** THE PHYSICS NOW CLOSES. Post-dose FC on 9/25 was ~24.5 measured on old powder, so truly higher; every reading since then was biased low by an unknown amount; the apparent impossibility (FC rising 16.2 -&gt; 16.8 with no dose) dissolves once the bias is allowed to vary. No chemistry mystery remains. *** NEW STANDING RULE (POOL.md): replace the DPD container while powder is still comfortably available, not when it runs out. The last of a container is where the error lives, and it is one-directional (LOW), so it silently inflates apparent chlorine demand. Keep the paired-reading practice at every switch -- it has now paid off twice (9/07, 9/30). *** 🧪 TEST STRIPS, John's extra (2026-09-30_6..14.jpg): two strips plus both bottle charts. They corroborate the titrations QUALITATIVELY. FC pad PURPLE on both, which the label calls 'excessive sanitizer' -- i.e. far above the strip's 10 ppm top, consistent with 18.4 and NOT with 15.2 vs 18.4 being distinguishable (strips cannot resolve that high). TA pad reads ~120 (titration 9/19: 120-130). pH pad reads ~7.8 (titration 9/19: 7.8). CyA pad sits at the 150+ end (dilution anchor 148). ALSO A FIRST: the second strip carries TOTAL HARDNESS, which reads high, roughly 400-800 ppm. CH has never been measured this season. On a VINYL pool high hardness is not a concern the way it is on plaster; noted as a crude datum, not an action item, and a strip is not a substitute for a titration. *** ALL NINETEEN PHOTOS OPENED per the 8/24 rule. Pool (_1, _2): clear, robot working. Skimmer ruler (_3). FILTER (_4): ~10 psi, unchanged for five days. AFTER (_5): clear and clean. *** CANISTER (debris/2026-09-30_1..5.jpg): LIGHT. And SNAILS ARE NOW CONFIRMED -- a dozen or more small coiled shells with the spiral plainly visible (debris/_2, _3, _4), upgrading yesterday's 'probable'. The 8/31 acorn correction made Claude hold that call for a day; the better photos settle it. Also pill bugs, a tightly COILED MILLIPEDE, reddish insect remains (crane-fly or wasp legs, not identified), an orange-yellow chunk that is NOT identified, oak and holly leaves and fine litter. Exterior panel (debris/_5): light fine particulate. *** NO DOSE: FC 18.4 is far above aim with closing days away, and the new case stays unopened for now. *** NO fc_loss FIGURE TODAY: yesterday's FC is withheld, so there is nothing valid to difference against. check_log.py skips the mass balance for exactly this reason.</t>
        </is>
      </c>
      <c r="W181" s="12291" t="inlineStr">
        <is>
          <t>leaves+pillbugs+insects; light (John) -- snails confirmed (a dozen-plus coiled shells), coiled millipede, pill bugs, oak and holly leaves</t>
        </is>
      </c>
    </row>
    <row r="182">
      <c r="A182" s="12292" t="inlineStr">
        <is>
          <t>2026-10-01</t>
        </is>
      </c>
      <c r="B182" s="12293" t="inlineStr">
        <is>
          <t>12:15</t>
        </is>
      </c>
      <c r="C182" s="12293" t="inlineStr">
        <is>
          <t>TEST</t>
        </is>
      </c>
      <c r="D182" s="12294" t="n"/>
      <c r="E182" s="12294" t="n">
        <v>16.8</v>
      </c>
      <c r="F182" s="12294" t="n">
        <v>0.3</v>
      </c>
      <c r="G182" s="12294" t="n">
        <v>1.6</v>
      </c>
      <c r="H182" s="12294" t="n"/>
      <c r="I182" s="12295" t="n"/>
      <c r="J182" s="12296" t="n"/>
      <c r="K182" s="12296" t="n"/>
      <c r="L182" s="12296" t="n"/>
      <c r="M182" s="12294" t="n"/>
      <c r="N182" s="12294" t="n"/>
      <c r="O182" s="12294" t="n">
        <v>5</v>
      </c>
      <c r="P182" s="12297" t="n">
        <v>0</v>
      </c>
      <c r="Q182" s="12294" t="n"/>
      <c r="R182" s="12294" t="n">
        <v>64</v>
      </c>
      <c r="S182" s="12294" t="n">
        <v>12</v>
      </c>
      <c r="T182" s="1199" t="inlineStr">
        <is>
          <t>Overcast to partly clear, dry. Water temp 64F, unchanged. Level 12.0, unchanged from yesterday -- no rain, little evaporation in the cool damp air.</t>
        </is>
      </c>
      <c r="U182" s="12293" t="inlineStr">
        <is>
          <t>2026-10-01_1.jpg;2026-10-01_2.jpg;2026-10-01_3.jpg;2026-10-01_4.jpg;2026-10-01_5.jpg;2026-10-01_6.jpg</t>
        </is>
      </c>
      <c r="V182" s="1199" t="inlineStr">
        <is>
          <t>12:15 PM. FC 16.8 (84 drops, NEW DPD powder), CC 0.3, temp 64F, level 12.0. Dose row verified first (8/25 rule): 2.0 gal on 9/25 17:40, nothing since; the new case is unopened. *** 🟢 THE FIRST CLEAN MASS BALANCE SINCE 9/25, and it is ORDINARY. Both ends of this interval were measured with the same fresh container, so the reagent bias cancels: 18.4 -&gt; 16.8 at an unchanged 30,652 gal =&gt; 1.60 ppm over a 22.75 h window (13:30 -&gt; 12:15, 1.25 h short of 24 and therefore outside the tolerance) = 1.69 PPM PER 24 H. The column holds the raw balance (1.6), as check_log.py requires. That is right at the last-20 median. *** WHAT THIS CONFIRMS: the pool was never misbehaving. The 'highest demand of the season' on 9/28 and the impossible reading on 9/29 were both the dying DPD container, and with a good one the demand lands exactly where this pool has been sitting all autumn. No further correction is made to 9/26-9/29; they stay flagged as unreliable (see the 9/30 row). *** THE LOSS SERIES RESTARTS HERE. Band calculations from today forward EXCLUDE the 9/27 and 9/28 loss figures, alongside the 8/20 and 9/10 artifact negatives, because they were computed from old-powder readings. *** CC 0.3, up from 0.0 but ordinary -- 0.3 or higher has occurred dozens of times, the flag level is 0.5, and nothing else moved. *** ALL ELEVEN PHOTOS OPENED per the 8/24 rule. BEFORE (_1): clear, robot working, water visibly clean. Steps/liner (_2): clean, NO metal staining; the formal count lapsed during the storm week (several days had no dedicated steps shot), last counted at 31 straight on 9/25 -- the run itself is unbroken in every photo since. Skimmer ruler (_3). FILTER (_4), ZOOMED: ~10 psi, the sixth day at that reading and still inside the clean band; backwash is ~22. AFTER (_5): clear, clean floor, the dog on the deck. SAMPLE-VOLUME PHOTO (_6), ZOOMED: fill AT the 25 mL line. *** CANISTER (debris/2026-10-01_1..5.jpg): LIGHT, as John said. A whole ACORN (the season's acorn drop continuing: 8/31, 9/13, 9/19, today); MANY SMALL SNAIL SHELLS again, spirals clearly visible across three frames -- the second day running, so 'snails' has been ADDED TO THE LOAD VOCABULARY today (check_log.py, POOL.md, append_log.py) rather than left to drift in as free text, per the 8/29 lesson; a tightly COILED MILLIPEDE; pill bugs; reddish insect legs, crane-fly or wasp, NOT identified; a small pebble; and oak and holly leaf fragments with fine litter. Exterior panel (debris/_5): light-to-moderate fine particulate. *** NO DOSE: FC 16.8 is well above aim 15 with closing days away, and even a bad 4.5 ppm day leaves 12.3. *** TOMORROW: ~14.6 (dose.py, l24 2.24); median model 15.1; band 13.4-15.7 on the restarted series.</t>
        </is>
      </c>
      <c r="W182" s="12298" t="inlineStr">
        <is>
          <t>leaves+pillbugs+snails+millipedes+insects+seeds; light (John) -- acorn, many snail shells, coiled millipede, pill bugs, leaf fragments</t>
        </is>
      </c>
    </row>
    <row r="183">
      <c r="A183" s="12285" t="inlineStr">
        <is>
          <t>2026-10-02</t>
        </is>
      </c>
      <c r="B183" s="12286" t="inlineStr">
        <is>
          <t>13:45</t>
        </is>
      </c>
      <c r="C183" s="12286" t="inlineStr">
        <is>
          <t>TEST</t>
        </is>
      </c>
      <c r="D183" s="12287" t="n"/>
      <c r="E183" s="12287" t="n">
        <v>18.2</v>
      </c>
      <c r="F183" s="12287" t="n">
        <v>0.2</v>
      </c>
      <c r="G183" s="12287" t="n">
        <v>-1.4</v>
      </c>
      <c r="H183" s="12287" t="n"/>
      <c r="I183" s="12288" t="n"/>
      <c r="J183" s="12289" t="n"/>
      <c r="K183" s="12289" t="n"/>
      <c r="L183" s="12289" t="n"/>
      <c r="M183" s="12287" t="n"/>
      <c r="N183" s="12287" t="n"/>
      <c r="O183" s="12287" t="n">
        <v>9</v>
      </c>
      <c r="P183" s="12290" t="n">
        <v>0</v>
      </c>
      <c r="Q183" s="12287" t="n"/>
      <c r="R183" s="12287" t="n">
        <v>65</v>
      </c>
      <c r="S183" s="12287" t="n">
        <v>12.3</v>
      </c>
      <c r="T183" s="1047" t="inlineStr">
        <is>
          <t>Sunny and warm for October. Feed at ~2 PM: partly cloudy, 79F, 61% RH; sun 8.0h of 9h daylight (89%), ~9h full day; high 79F, UV max 4.7, 0.00in precip. Water temp 65F, up 1F. Level 12.0 -&gt; 12.3 (+59 gal).</t>
        </is>
      </c>
      <c r="U183" s="12286" t="inlineStr">
        <is>
          <t>2026-10-02_1.jpg;2026-10-02_2.jpg;2026-10-02_3.jpg;2026-10-02_4.jpg;2026-10-02_5.jpg;2026-10-02_6.jpg</t>
        </is>
      </c>
      <c r="V183" s="1047" t="inlineStr">
        <is>
          <t>~1:45 PM. FC 18.2 (91 drops, new powder), CC 0.2, temp 65F, level 12.3. John ran it TWICE and got 91 both times. Dose rows verified (8/25 rule): nothing logged since 2.0 gal on 9/25; the new case is believed unopened -- asked John to confirm, since an unreported pour is the one simple explanation for what follows. *** 🔴 THIS READING AND YESTERDAY'S CANNOT BOTH BE RIGHT. Yesterday 16.8 at 30,652 gal; today 18.2 at 30,711 gal. With no chlorine added FC CANNOT RISE: today's ceiling was ~16.8. The mass balance comes out at -1.43 ppm, logged as such -- the THIRD ARTIFACT NEGATIVE of the season (8/20 -0.1, 9/10 -0.6) and by far the largest. Excluded from band calculations like the others. *** IT IS NOT THE POWDER THIS TIME. Both ends of this interval used the SAME fresh container opened 9/30, so the 3.2 ppm bias measured that day does not apply. Nor is it his counting: two runs today agreed exactly, and repeat agreement has been his pattern all season (87/87, 58/57, 74/77, 78/81). Within a sitting the test reproduces; it is BETWEEN days that it wanders. *** THE THREE NEW-POWDER READINGS: 9/30 18.4, 10/01 16.8, 10/02 18.2. The ends agree within 0.2 and the middle sits 1.5 low. If true FC has been ~18.3 all three days, that implies DEMAND NEAR ZERO -- entirely plausible now: 65F water, no swimmers, a clean pool, short days; 9/18 (0.27) and 9/24 (0.14) already showed near-zero days. On that reading yesterday's 16.8 was the outlier, not today's. NOT asserted -- there is no independent evidence to pick between them. *** THE REAL POINT, AND IT IS A LIMIT RATHER THAN A FAULT: the daily signal has fallen BELOW the measurement's day-to-day scatter. Demand of ~0.1-0.2 ppm/day cannot be resolved by a test whose between-day spread is ~1.5 ppm (7 drops). The loss series has hit its noise floor for the season; single-day losses from here are not meaningful, whatever the cause of the scatter. *** CANDIDATE CAUSES OF BETWEEN-DAY SCATTER, none tested: sampling and mixing (the pool is barely circulated now and the 7/22 cross-pool gradient was already ~0.8 ppm under full circulation); endpoint judgement under different light (9/28 was run indoors in rain); titrant drop size and technique; and the AGE OF THE FAS TITRANT -- the same bottle has been in use since June, and a weakening titrant reads HIGH (the 7/11 episode). *** ENDPOINT FADE IS STRUCK FROM THE LIST (2026-10-02). Claude raised it the next day as a candidate; John: 'btw i never chase a returning pink.' POOL.md has said since 7/20 that his technique is CONFIRMED, that the pink does not return in this pool and kit, and that this is NOT to be re-litigated -- Claude had already been wrong on it twice (7/17, 7/20) and cited those very dates while mis-attributing them to John. That leaves TWO live candidates: the water (mixing/sampling, which tomorrow's two-end test checks) and the kit (titrant strength, a slow drift that cannot produce a one-day bounce). *** PLAN OFFERED TO JOHN: (1) confirm no chlorine was added; (2) if he wants it settled, ONE two-spot test -- two samples drawn at the same moment from different ends of the pool, titrated back to back in the same light; agreement points at between-day technique or reagent, disagreement at mixing; (3) otherwise STOP daily FC testing for the season, test once more right before closing, and spend the remaining days on leaves. With FC 17-18, nothing operational depends on resolving this. *** ALL TWELVE PHOTOS OPENED per the 8/24 rule. Pool (_1, _2): clear and clean, robot working, water looks excellent. Skimmer ruler (_3). FILTER (_4), ZOOMED: ~10 psi, seventh day unchanged. AFTER (_5): clear, dog on the deck. SAMPLE-VOLUME PHOTO (_6), ZOOMED: fill AT the 25 mL line -- volume is not the explanation. *** CANISTER (debris/2026-10-02_1..7.jpg): VERY LIGHT per John. A grey-brown CATERPILLAR (debris/_4, clear); MORE SNAIL SHELLS, the third day running; a small PINE CONE and an acorn; pill bugs; a few leaf fragments and fine litter. Exterior panel (debris/_7): light fine particulate. *** NO DOSE: FC is far above aim either way, and closing is days off. *** 📋 PRE-REGISTERED FOR 10/03, BEFORE THE RESULT (John volunteered the test: 'two.. one from each end of the pool and see if i can at least get the same reading twice'). PROTOCOL: both samples drawn at the same time, one from each end at the usual elbow depth; titrated back to back in the same light; endpoint called at the FIRST clearing of pink, no chasing a returning pink; both drop counts reported with which end each came from, plus whether the pump or robot had been running. DECISION RULE, fixed now: WITHIN ~2 DROPS =&gt; the water is uniform and the test repeats in the moment, so the day-to-day wandering is between-day (endpoint judgement or reagent) and the chase STOPS for the season. 5+ DROPS APART (1+ ppm) =&gt; the pool is stratified, believable now that it barely circulates, and the fix for next season is to run the pump before testing rather than to distrust the kit. Either outcome closes the question; neither is to be re-scored against a different reference afterwards (9/03 rule).</t>
        </is>
      </c>
      <c r="W183" s="12291" t="inlineStr">
        <is>
          <t>leaves+pillbugs+snails+caterpillars+seeds; very light (John) -- caterpillar, snail shells, small pine cone, acorn, pill bugs</t>
        </is>
      </c>
    </row>
    <row r="184">
      <c r="A184" s="12292" t="inlineStr">
        <is>
          <t>2026-10-03</t>
        </is>
      </c>
      <c r="B184" s="12293" t="inlineStr">
        <is>
          <t>12:45</t>
        </is>
      </c>
      <c r="C184" s="12293" t="inlineStr">
        <is>
          <t>TEST</t>
        </is>
      </c>
      <c r="D184" s="12294" t="n"/>
      <c r="E184" s="12294" t="n">
        <v>15.7</v>
      </c>
      <c r="F184" s="12294" t="n">
        <v>0.25</v>
      </c>
      <c r="G184" s="12294" t="n">
        <v>2.5</v>
      </c>
      <c r="H184" s="12294" t="n"/>
      <c r="I184" s="12295" t="n"/>
      <c r="J184" s="12296" t="n"/>
      <c r="K184" s="12296" t="n"/>
      <c r="L184" s="12296" t="n"/>
      <c r="M184" s="12294" t="n"/>
      <c r="N184" s="12294" t="n"/>
      <c r="O184" s="12294" t="n">
        <v>7</v>
      </c>
      <c r="P184" s="12297" t="n">
        <v>0</v>
      </c>
      <c r="Q184" s="12294" t="n"/>
      <c r="R184" s="12294" t="n">
        <v>66</v>
      </c>
      <c r="S184" s="12294" t="n">
        <v>12.3</v>
      </c>
      <c r="T184" s="1199" t="inlineStr">
        <is>
          <t>Warm and sunny. Feed at ~1 PM: clear, 70F, 36% RH -- dry air; sun 6.0h of 7h so far (86%), ~7h full day; high 71F, UV max 5.2, 0.01in. Water temp 66F, up 1F. Level held at 12.3.</t>
        </is>
      </c>
      <c r="U184" s="12293" t="inlineStr">
        <is>
          <t>2026-10-03_1.jpg;2026-10-03_2.jpg;2026-10-03_3.jpg;2026-10-03_4.jpg;2026-10-03_5.jpg</t>
        </is>
      </c>
      <c r="V184" s="1199" t="inlineStr">
        <is>
          <t>🔬 THE TWO-END TEST -- PRE-REGISTERED 10/02, AND IT ANSWERS THE WEEK. Both samples drawn around 12:45 PM, titrated back to back. BY THE STAIRS: 75 drops = 15.0, CC 0.3. OPPOSITE END, BY THE DIVING BOARD: 82 drops = 16.4, CC 0.2. SPREAD 7 DROPS = 1.4 PPM ACROSS THE POOL. *** THE PRE-REGISTERED RULE SAID: within ~2 drops =&gt; the water is uniform and the wandering is between-day; 5+ drops apart =&gt; THE POOL IS STRATIFIED and the fix is circulation, not distrusting the kit. Seven drops lands squarely in the second branch, and the rule was written down before the result (see the 10/02 row). *** WHAT IT EXPLAINS: the day-to-day swings that made this week look broken were ±1.5 ppm, and the pool itself is holding a 1.4 ppm gradient end to end. A reading taken at one spot on one day and another spot -- or the same spot in a differently-mixed pool -- on the next will differ by about that much WITHOUT ANY CHLORINE MOVING. That covers 10/01's 16.8 and 10/02's 18.2 and the 'impossible' rise between them, with no bad reagent and no bad counting needed. *** 🔴 CLAUDE'S 'POOL BARELY CIRCULATING' EXPLANATION IS WITHDRAWN -- IT WAS INVENTED. John, same day: 'it has been running the same number of hours all summer - it's on an automatic timer. it starts at 7am and finishes like 9/10pm.. i test around 12/1.. so it's been running.' The pump schedule has NOT changed; Claude inferred reduced circulation from the storm and leaf-clearing talk and wrote it up as fact. Nothing John said supported it. *** WHAT SURVIVES: the MEASUREMENT -- 1.4 ppm end to end, 7 drops, same moment, same technique. The pool carries a real concentration gradient WITH the pump on its normal schedule, as it did in July (7/22: 0.8 ppm across the 20 ft short axis; today: 1.4 ppm along the 40 ft long axis -- roughly proportional to distance, so the difference from July is probably GEOMETRY, not circulation). WHAT DOES NOT SURVIVE: the claim that this explains the week. JOHN SAMPLES MID-POOL, directly between today's two ends, which sits near the pool average and is the least sensitive point on the gradient; a stable gradient sampled consistently cancels out of day-to-day loss math, exactly as the 7/22 rule said. So the 10/01-10/02 swing is NOT explained by stratification alone. *** HONEST STATE OF THE QUESTION: the gradient is a confirmed uncertainty of about the right size (~0.7 ppm about the mean), and it would bite only if the gradient TILTS or SHIFTS day to day (wind, sun, robot position, where chlorine was last poured) -- plausible but untested. Reagent drift remains the other candidate. With FC 16-18 and closing days away, the question is left OPEN rather than closed by assumption. *** JOHN'S USUAL SAMPLING POINT IS DIRECTLY BETWEEN THE TWO ENDS TESTED TODAY (his words: 'my normal testing spot is directly in the middle of these two ends') -- mid-pool, the 'red' spot of 7/22, the point LEAST affected by an end-to-end gradient. Value of record today is therefore taken as the MEAN OF THE TWO ENDS, 15.7, as the best available estimate of the pool average; CC likewise 0.25. Asked John which end is nearer his usual spot, for continuity of the series. *** fc_loss 2.5 ppm from yesterday's 18.2 is recorded because check_log.py requires the column to match the balance, but READ IT WITH CARE: it differences a single-spot reading against a two-end mean in a pool with a 1.4 ppm gradient, so its uncertainty is of the same order as the number itself. The honest summary of the last week is that FC has been somewhere around 16-18 throughout and the pool has needed nothing. *** 🔴 AND THE SPREAD MAY NOT BE A POOL-WIDE GRADIENT AT ALL -- JOHN, same day: 'the first test was near the stairs which cut into the pool underwater.. so it could be that circulation to that spot is a lot more limited.. where i tested is sort of shielded by the stairs. the second spot is right in the middle of the far end.' The LOW sample (75 drops) came from a SHELTERED POCKET beside the underwater steps -- a local dead zone, not open water. That is a better explanation of its being the lower of the two than any whole-pool gradient: water that exchanges slowly with the rest of the pool sits with its own chlorine history. So TODAY'S 1.4 ppm IS AN UPPER BOUND on the open-water spread, and the true end-to-end difference may be much smaller -- possibly nil. This also leaves John's own mid-pool spot (open water) looking fine. *** FOLLOW-UP JOHN PROPOSED, worth doing once if he wants it settled: sample the STAIRS END IN OPEN WATER, clear of the steps, against the same mid-far-end spot. That is a genuine end-to-end comparison. Agreement would show the pool is well mixed in open water and would pin today's spread on the pocket; a repeat of the spread would mean a real gradient. Either way it does not change care with closing days off. *** WHAT TO DO: NOTHING CHANGES. John already tests mid-pool, at the same spot, 5-6 h into a pump run -- the right practice, and it was right all along. The gradient is recorded as a known uncertainty, not as a fault to fix. *** ALL TWELVE PHOTOS OPENED per the 8/24 rule. Pool (_1, _2): clear, robot working, one yellow leaf on the floor. Skimmer ruler (_3). FILTER (_4), ZOOMED: ~10 psi, eighth day unchanged. AFTER (_5): clear and clean. *** CANISTER (debris/2026-10-03_1..7.jpg): MEDIUM-LIGHT per John. Now dominated by LARGE BROWN AUTUMN LEAVES -- oak and maple, several nearly whole -- with green holly fragments; an ACORN; a black COILED MILLIPEDE; MORE SNAIL SHELLS, the fourth day running; a small cricket-like insect (debris/_5, not identified beyond that); a pale larva; and fine litter along the mesh. Exterior panel (debris/_7): light-to-moderate. *** NO DOSE: FC ~16 by either end, far above aim, closing in days. *** 📋 PRE-REGISTERED FOR 10/04, BEFORE THE RESULT. John: 'tomorrow i will do the other side of the stairs where it is not sheltered and the same far side near diving board. and we will see.' PROTOCOL: same as 10/03 -- both samples drawn at the same time, titrated back to back in the same light, endpoint at first clearing; report both drop counts and CC, and which is which. The only change is that the stairs-end sample comes from OPEN WATER, clear of the steps, instead of the sheltered pocket. DECISION RULE, FIXED NOW: (a) WITHIN ~2 DROPS (&lt;=0.4 ppm) =&gt; the pool IS well mixed in open water, today's 1.4 ppm was the dead pocket beside the stairs and NOT a pool-wide gradient; John's mid-pool readings stand unqualified, the week's swings are not spatial, and the only remaining candidate is reagent drift -- which, with closing days away, is left for a fresh titrant next season. (b) 5+ DROPS APART (&gt;=1.0 ppm) =&gt; a REAL open-water end-to-end gradient; single readings carry about +/-0.7 ppm of location noise, which is larger than this pool's whole autumn daily demand, and the loss series is simply at its resolution limit. (c) 3-4 DROPS =&gt; INCONCLUSIVE, and it is called inconclusive rather than argued either way. No outcome is to be re-scored against a different reference afterwards (9/03 rule), and no condition nobody reported is to be invented to explain it (10/03 rule).</t>
        </is>
      </c>
      <c r="W184" s="12298" t="inlineStr">
        <is>
          <t>leaves+snails+pillbugs+insects+seeds; medium-light (John) -- large autumn oak and maple leaves, acorn, coiled millipede, snail shells, a cricket-like insect</t>
        </is>
      </c>
    </row>
    <row r="185">
      <c r="A185" s="12285" t="inlineStr">
        <is>
          <t>2026-10-04</t>
        </is>
      </c>
      <c r="B185" s="12286" t="inlineStr">
        <is>
          <t>13:45</t>
        </is>
      </c>
      <c r="C185" s="12286" t="inlineStr">
        <is>
          <t>TEST</t>
        </is>
      </c>
      <c r="D185" s="12287" t="n"/>
      <c r="E185" s="12287" t="n">
        <v>15.3</v>
      </c>
      <c r="F185" s="12287" t="n">
        <v>0.2</v>
      </c>
      <c r="G185" s="12287" t="n">
        <v>0.4</v>
      </c>
      <c r="H185" s="12287" t="n"/>
      <c r="I185" s="12288" t="n"/>
      <c r="J185" s="12289" t="n"/>
      <c r="K185" s="12289" t="n"/>
      <c r="L185" s="12289" t="n"/>
      <c r="M185" s="12287" t="n"/>
      <c r="N185" s="12287" t="n"/>
      <c r="O185" s="12287" t="n">
        <v>6</v>
      </c>
      <c r="P185" s="12290" t="n">
        <v>0.02</v>
      </c>
      <c r="Q185" s="12287" t="n"/>
      <c r="R185" s="12287" t="n"/>
      <c r="S185" s="12287" t="n">
        <v>11.8</v>
      </c>
      <c r="T185" s="1047" t="inlineStr">
        <is>
          <t>Cloudy with light rain at test time (John). Feed: overcast, 63F, 64% RH; sun 5.0h of 8h (63%), ~6h full day; high 64F, UV max 4.3, 0.02in. NO WATER TEMP FROM TODAY ON -- John has put away the ladder the thermometer was attached to, so the Water temp column ends here (last reading 66F, 10/03). Level 12.3 -&gt; 11.8 (-98 gal).</t>
        </is>
      </c>
      <c r="U185" s="12286" t="inlineStr">
        <is>
          <t>2026-10-04_1.jpg;2026-10-04_2.jpg;2026-10-04_3.jpg;2026-10-04_4.jpg</t>
        </is>
      </c>
      <c r="V185" s="1047" t="inlineStr">
        <is>
          <t>🔬 THE OPEN-WATER TWO-END TEST -- AND IT CLOSES THE QUESTION. Both samples ~1:45 PM, titrated back to back, BOTH IN OPEN WATER this time. STAIRS END, clear of the steps: 77 drops = 15.4, CC 0.3. FAR END by the diving board: 76 drops = 15.2, CC 0.1. SPREAD: ONE DROP, 0.2 ppm -- the test's own resolution, and the same answer as the 7/19 split test (58/57). *** PRE-REGISTERED OUTCOME (a), EXACTLY AS WRITTEN ON 10/03: 'within ~2 drops =&gt; the pool IS well mixed in open water, yesterday's 1.4 ppm was the dead pocket beside the stairs and NOT a pool-wide gradient; John's mid-pool readings stand unqualified, the week's swings are not spatial, and the only remaining candidate is reagent drift -- left for a fresh titrant next season.' That is the finding, and it is taken as written rather than re-argued (9/03 rule). *** SO: (1) THE POOL MIXES FINE on its normal pump schedule -- 20 ft or 40 ft apart, open water is open water. (2) YESTERDAY'S 1.4 PPM WAS THE SHELTERED POCKET beside the underwater stairs, a local dead zone with its own chlorine history -- John spotted that himself. Useful standing fact: DO NOT SAMPLE BESIDE THE STAIRS. (3) The 10/01-10/02 wandering is NOT spatial, so John's mid-pool readings need no qualification, and the remaining candidate is the FAS titrant, in use since June, which a fresh bottle next spring settles without any work now. (4) JOHN'S PRACTICE WAS RIGHT THROUGHOUT -- spot, depth, timing, technique. Of the three explanations Claude floated this week, one was real but separate (the dying DPD powder, measured 9/30), one was against an explicit rule (endpoint fade), and one was invented (reduced circulation). The operator was never the problem. *** VALUE OF RECORD 15.3, the mean of the two open-water samples; CC 0.2 likewise. Mass balance from yesterday's 15.7: 0.45 ppm over 25 h = 0.43 per 24 h. The cleaner SAME-SPOT comparison, far end to far end, is 16.4 -&gt; 15.2 = 1.25 ppm over 25 h = 1.20 per 24 h; both are low-demand numbers and the difference between them is the measurement, not the pool. *** TEN DAYS WITHOUT CHLORINE: the last dose was 2.0 gal on 9/25, and FC has sat between 15 and 18 ever since -- 63-66F water, short days, no swimmers, a clean pool. The new case is still unopened. *** ALL TEN PHOTOS OPENED per the 8/24 rule. Pool (_1): clear, a few floating leaves, overcast. Skimmer ruler (_2). FILTER (_3), ZOOMED: ~10 psi, ninth day unchanged. AFTER (_4): clear and clean. *** JOHN SKIMMED LEAVES AND ONE DEAD FROG from the surface -- the fourth frog of the season to be found dead or removed (8/05, 9/17, 9/21 live, today), and another entry for the escape-ramp case (POOL.md 9/17). *** CANISTER (debris/2026-10-04_1..7.jpg): LIGHT. Snails again, the fifth day running, including a pale cream one; pill bugs, one rolled and one walking; a coiled tan MILLIPEDE; a clear brown CRICKET (debris/_4, _5); small orange fragments, probably berry or seed, NOT identified; brown and green leaf fragments and fine litter. Exterior panel (debris/_7): light-to-moderate. *** NO DOSE: FC 15.3 is at aim with closing days away.</t>
        </is>
      </c>
      <c r="W185" s="12291" t="inlineStr">
        <is>
          <t>carcass+frogs+leaves+snails+pillbugs+insects; light (John) -- one dead frog and leaves skimmed; canister: snails, pill bugs, coiled millipede, a cricket</t>
        </is>
      </c>
    </row>
    <row r="186">
      <c r="A186" s="12292" t="inlineStr">
        <is>
          <t>2026-10-05</t>
        </is>
      </c>
      <c r="B186" s="12293" t="inlineStr">
        <is>
          <t>12:30</t>
        </is>
      </c>
      <c r="C186" s="12293" t="inlineStr">
        <is>
          <t>TEST</t>
        </is>
      </c>
      <c r="D186" s="12294" t="n"/>
      <c r="E186" s="12294" t="n">
        <v>14.2</v>
      </c>
      <c r="F186" s="12294" t="n">
        <v>0.2</v>
      </c>
      <c r="G186" s="12294" t="n">
        <v>1.1</v>
      </c>
      <c r="H186" s="12294" t="n"/>
      <c r="I186" s="12295" t="n"/>
      <c r="J186" s="12296" t="n"/>
      <c r="K186" s="12296" t="n"/>
      <c r="L186" s="12296" t="n"/>
      <c r="M186" s="12294" t="n"/>
      <c r="N186" s="12294" t="n"/>
      <c r="O186" s="12294" t="n">
        <v>6</v>
      </c>
      <c r="P186" s="12297" t="n">
        <v>0</v>
      </c>
      <c r="Q186" s="12294" t="n"/>
      <c r="R186" s="12294" t="n"/>
      <c r="S186" s="12294" t="n">
        <v>11.7</v>
      </c>
      <c r="T186" s="1199" t="inlineStr">
        <is>
          <t>Sunny and mild. Feed: mainly clear, 68F, 64% RH; sun 5.0h of 6h so far (83%), ~6h full day; high 70F, UV max 5.0, 0.00in precip. No water temp from here on (thermometer ladder stored 10/04). Level 11.8 -&gt; 11.7 (-20 gal).</t>
        </is>
      </c>
      <c r="U186" s="12293" t="inlineStr">
        <is>
          <t>2026-10-05_1.jpg;2026-10-05_2.jpg;2026-10-05_3.jpg;2026-10-05_4.jpg;2026-10-05_5.jpg</t>
        </is>
      </c>
      <c r="V186" s="1199" t="inlineStr">
        <is>
          <t>12:30 PM. FC 14.2 (71 drops), CC 0.2, level 11.7. Dose row verified first (8/25 rule): the last dose is 2.0 gal on 9/25 17:40 -- ELEVEN DAYS AGO, and the new case is still unopened. Mass balance: 15.3 @ 30,613 - 14.2 @ 30,593 =&gt; 1.11 ppm over a 22.75 h window (13:45 -&gt; 12:30, 1.25 h short of 24) = 1.17 PPM PER 24 H. The column holds the raw balance (1.1). Ordinary, and the third consecutive sane day since the reagent switch. *** NO DOSE TONIGHT. FC 14.2 is above the 12 trigger agreed on 10/04, and the whole-bottle rule gives a raw dose of 0.56 gal at this volume (30,593 gal, 3.94 ppm/gal), which rounds to zero. Skipping is safe by a wide margin: even a 4.5 ppm day leaves 9.7, and nothing like that has happened in weeks. *** DRIFT TO CLOSING, at the recent ~1.2 ppm/day: 10/06 ~13.0, 10/07 ~11.8, 10/08 ~10.6, 10/09 ~9.4. So THE 1-GALLON POUR LANDS AROUND 10/07, which keeps FC near 15.7 and holds the floor through either closing weekend. If the cover arrives for 10/10-11, that single gallon plus the closing dose is the whole plan; if closing slips to 10/17-18, expect one more gallon around 10/12. *** ALMOST NO SEDIMENT -- John's lightest call of the season, and the canister photos bear it out: the tray is close to bare. Just a few snail shells (the sixth day running), one coiled millipede, a pill bug, long thin harvestman-type legs on the mesh, a little orange leaf litter and some pine needles. Exterior panel light-to-moderate. The autumn leaf dump that filled this basket 9/23-9/28 is over, or at least paused. *** JOHN SKIMMED SOME SURFACE LEAVES; nothing else needed. *** ALL NINE PHOTOS OPENED per the 8/24 rule. BEFORE (_1): clear, robot working the deep end, two or three floating leaves. Skimmer ruler (_2). Shallow end and steps (_3): clean, no staining. AFTER (_4): clear, clean. FILTER (_5), ZOOMED: ~10 psi, the tenth day unchanged -- it has not moved since the heaviest leaf week of the season, which is what a canister doing its job looks like. *** CLOSING PREP: kit actives all confirmed (POOL.md) -- nothing in it adds chlorine, so the closing dose is all liquid. Cover has not arrived; closing is 10/10-11 or 10/17-18.</t>
        </is>
      </c>
      <c r="W186" s="12298" t="inlineStr">
        <is>
          <t>leaves+snails+pillbugs+insects; almost none (John) -- a few surface leaves skimmed; canister nearly bare: snails, a coiled millipede, a pill bug, harvestman legs</t>
        </is>
      </c>
    </row>
    <row r="187">
      <c r="A187" s="12285" t="inlineStr">
        <is>
          <t>2026-10-06</t>
        </is>
      </c>
      <c r="B187" s="12286" t="inlineStr">
        <is>
          <t>12:15</t>
        </is>
      </c>
      <c r="C187" s="12286" t="inlineStr">
        <is>
          <t>TEST</t>
        </is>
      </c>
      <c r="D187" s="12287" t="n"/>
      <c r="E187" s="12287" t="n">
        <v>12</v>
      </c>
      <c r="F187" s="12287" t="n">
        <v>0</v>
      </c>
      <c r="G187" s="12287" t="n">
        <v>2.2</v>
      </c>
      <c r="H187" s="12287" t="n"/>
      <c r="I187" s="12288" t="n"/>
      <c r="J187" s="12289" t="n"/>
      <c r="K187" s="12289" t="n"/>
      <c r="L187" s="12289" t="n"/>
      <c r="M187" s="12287" t="n"/>
      <c r="N187" s="12287" t="n"/>
      <c r="O187" s="12287" t="n">
        <v>5</v>
      </c>
      <c r="P187" s="12290" t="n">
        <v>0</v>
      </c>
      <c r="Q187" s="12287" t="n"/>
      <c r="R187" s="12287" t="n"/>
      <c r="S187" s="12287" t="n">
        <v>11.9</v>
      </c>
      <c r="T187" s="1047" t="inlineStr">
        <is>
          <t>Cool, sunny and WINDY (John). Feed: clear, 57F, 36% RH -- dry; sun 5.0h of 5h daylight (100%), ~5h full day; high only 60F, UV max 5.0, 0.00in precip. Level 11.7 -&gt; 11.9 (+39 gal) with no rain in the feed -- 0.2 cm is at the ruler's resolution, so read it as flat.</t>
        </is>
      </c>
      <c r="U187" s="12286" t="inlineStr">
        <is>
          <t>2026-10-06_1.jpg;2026-10-06_2.jpg;2026-10-06_3.jpg;2026-10-06_4.jpg;2026-10-06_5.jpg;2026-10-06_6.jpg</t>
        </is>
      </c>
      <c r="V187" s="1047" t="inlineStr">
        <is>
          <t>12:15 PM. FC 12.0 (60 drops), CC 0.0, level 11.9. Dose row verified first (8/25 rule): last dose 2.0 gal on 9/25 17:40 -- TWELVE DAYS. Mass balance: 14.2 @ 30,593 - 12.0 @ 30,632 =&gt; 2.18 ppm over 23.75 h = 2.21 PER 24 H (window inside tolerance; the column holds the raw balance, 2.2). Above the recent 1.1-1.2 but ordinary -- a little over the last-20 median, well under p90. *** 🔴 THE 12.0 TRIGGER IS HIT EXACTLY, SO POUR 1 GALLON TONIGHT. The plan set on 10/04 was 'pour 1 gallon when FC reaches about 12', and yesterday's row projected the pour would land around 10/07; it arrives a day early because today's loss was 2.2 rather than 1.2. dose.py arithmetic at this volume (30,632 gal, 3.93 ppm/gal): raw 1.33 gal -&gt; nearest whole gallon 1. FC right after the pour ~15.9, under the 19 ceiling; next noon mean model 13.7, median 14.2, band 13.0-15.3; on a bad 4.5 ppm day ~11.4, still above floor 10. *** HEAVY LEAVES, NOT SEDIMENT -- John's own distinction, and the canister bears it out: the basket is PACKED with whole oak and maple leaves in full autumn colour (debris/2026-10-06_1..3.jpg), green through yellow, orange and brown, with almost no fine material among them. He also skimmed a lot off the surface. Second big leaf push of the season after 9/23-9/28; the trees are finishing. Per the 8/12-13 finding, the leaf load is NOT offered as the reason today's loss was double yesterday's -- load has failed to predict loss all season. *** CC 0.0. *** ALL TEN PHOTOS OPENED per the 8/24 rule. BEFORE (_1): clear water, a scatter of floating leaves, bright and windy. Pool floor (_2): clean liner, nothing settled. Steps (_3): clean, NO metal staining. Skimmer ruler (_4), with a leaf resting on it. FILTER (_5), ZOOMED: ~10 psi, ELEVENTH day unchanged -- the canister is taking the whole leaf load and the grids never see it. AFTER (_6): clear and clean. Exterior panel (debris/_4): light-to-moderate fine particulate. *** CLOSING: cover still not here; 10/10-11 or 10/17-18. After tonight's gallon the holding plan is unchanged -- test every 2-3 days, another gallon if FC reaches ~12 again (would be around 10/09-10/10), then the final dose to 18-20 the evening before covering. Roughly 2 gallons of the new case left for that.</t>
        </is>
      </c>
      <c r="W187" s="12291" t="inlineStr">
        <is>
          <t>leaves; heavy leaves but almost no sediment (John) -- canister packed with whole autumn oak and maple leaves; lots of surface skimming</t>
        </is>
      </c>
    </row>
    <row r="188">
      <c r="A188" s="12257" t="inlineStr">
        <is>
          <t>2026-10-07</t>
        </is>
      </c>
      <c r="B188" s="12258" t="inlineStr">
        <is>
          <t>14:00</t>
        </is>
      </c>
      <c r="C188" s="12258" t="inlineStr">
        <is>
          <t>TEST</t>
        </is>
      </c>
      <c r="D188" s="12259" t="n"/>
      <c r="E188" s="12259" t="n">
        <v>12.6</v>
      </c>
      <c r="F188" s="12259" t="n">
        <v>0</v>
      </c>
      <c r="G188" s="12259" t="n">
        <v>-0.5</v>
      </c>
      <c r="H188" s="12259" t="n"/>
      <c r="I188" s="12260" t="n"/>
      <c r="J188" s="12261" t="n"/>
      <c r="K188" s="12261" t="n"/>
      <c r="L188" s="12261" t="n"/>
      <c r="M188" s="12259" t="n"/>
      <c r="N188" s="12259" t="n"/>
      <c r="O188" s="12259" t="n">
        <v>7</v>
      </c>
      <c r="P188" s="12262" t="n">
        <v>0</v>
      </c>
      <c r="Q188" s="12259" t="n"/>
      <c r="R188" s="12259" t="n"/>
      <c r="S188" s="12259" t="n">
        <v>11.2</v>
      </c>
      <c r="T188" s="813" t="inlineStr">
        <is>
          <t>Cold, clear, much less wind than yesterday. Feed: clear, 65F, 44% RH; sun 7.0h of 7h daylight (100%), high 65F, UV max 5.0, 0.00in precip. Level 11.9 -&gt; 11.2 (-137 gal) -- dry air and sun.</t>
        </is>
      </c>
      <c r="U188" s="12258" t="inlineStr">
        <is>
          <t>2026-10-07_1.jpg;2026-10-07_2.jpg;2026-10-07_3.jpg;2026-10-07_4.jpg;2026-10-07_5.jpg</t>
        </is>
      </c>
      <c r="V188" s="813" t="inlineStr">
        <is>
          <t>~2:00 PM. FC 12.6 (63 drops), CC 0.0, level 11.2. *** NO DOSE LAST NIGHT: John forgot, and his point is right -- the 8/25 rule means Claude should infer that WITHOUT being told, because a dose that is not reported did not happen. It was applied as written: the log carries no DOSE row for 10/06, this row's balance treats the interval as undosed, and the recommendation below is simply the missed pour, re-issued. *** FC IS FLAT, NOT UP. 12.0 -&gt; 12.6 is THREE DROPS, inside John's own between-day scatter (the 74/77, 78/81 and 76/77 pairs this season), and his summary is the right one: 'basically FC stayed steady within a few drops'. The mass balance nonetheless computes -0.54 ppm, logged as the FOURTH ARTIFACT NEGATIVE of the season (8/20 -0.1, 9/10 -0.6, 10/02 -1.4) and excluded from band calculations like the others. Nothing needs explaining: a 0.5 ppm negative IS the measurement's resolution. *** THE TWO-DAY VIEW IS THE HONEST ONE: 10/05's 14.2 to today's 12.6 over 49.75 h = 0.82 ppm/day. Very low, and exactly what this pool should do in October -- cold water, low sun angle, no bathers, a clean pool. *** 🔴 POUR 1 GALLON TONIGHT -- the dose that was missed. At 12.6 and 30,495 gal (3.95 ppm/gal) the raw dose is 1.18, nearest whole gallon 1. FC right after the pour ~16.6, under the 19 ceiling; on a bad 4.5 ppm day ~12.1, well above floor 10; next noon ~14.3 on the mean model. *** LIGHT DAY after yesterday's leaf dump: much less wind, fewer leaves (John). The canister holds one clump of leaves in a corner (debris/2026-10-07_1..3.jpg), a pill bug, a snail shell or two and fine litter on the panels; exterior panel light-to-moderate. *** ALL TEN PHOTOS OPENED per the 8/24 rule. BEFORE (_1): clear, robot working, sun low and bright. Steps and shallow end (_2): clean, no staining. Skimmer ruler (_3). AFTER (_4): clear and clean, dog on the deck. FILTER (_5), ZOOMED: ~10 psi, TWELFTH day unchanged. *** CLOSING: cover still not here. If it arrives for 10/10-11, tonight's gallon plus the final dose finishes the season; if it slips to 10/17-18, expect one more gallon around 10/11-10/12.</t>
        </is>
      </c>
      <c r="W188" s="12263" t="inlineStr">
        <is>
          <t>leaves+pillbugs+snails; light (John) -- less wind and fewer leaves than yesterday; canister: one clump of leaves, a pill bug, snail shells</t>
        </is>
      </c>
    </row>
    <row r="189">
      <c r="A189" s="12271" t="inlineStr">
        <is>
          <t>2026-10-07</t>
        </is>
      </c>
      <c r="B189" s="12272" t="inlineStr">
        <is>
          <t>17:00</t>
        </is>
      </c>
      <c r="C189" s="12272" t="inlineStr">
        <is>
          <t>DOSE</t>
        </is>
      </c>
      <c r="D189" s="12273" t="n"/>
      <c r="E189" s="12273" t="n"/>
      <c r="F189" s="12273" t="n"/>
      <c r="G189" s="12273" t="n"/>
      <c r="H189" s="12273" t="n">
        <v>14.3</v>
      </c>
      <c r="I189" s="12274" t="n"/>
      <c r="J189" s="12275" t="n"/>
      <c r="K189" s="12275" t="n"/>
      <c r="L189" s="12275" t="n"/>
      <c r="M189" s="12273" t="n">
        <v>1</v>
      </c>
      <c r="N189" s="12273" t="n">
        <v>65</v>
      </c>
      <c r="O189" s="12273" t="n"/>
      <c r="P189" s="12276" t="n"/>
      <c r="Q189" s="12273" t="n"/>
      <c r="R189" s="12273" t="n"/>
      <c r="S189" s="12273" t="n"/>
      <c r="T189" s="827" t="n"/>
      <c r="U189" s="12272" t="n"/>
      <c r="V189" s="827" t="inlineStr">
        <is>
          <t>5:00 PM, 1.0 gal -- the pour missed on 10/06, re-issued and done. Season total 65.0 gal, and THE FIRST GALLON OUT OF THE NEW CASE (bought 9/29; nothing had been drawn from it in eight days). FC right after the pour ~16.6 (12.6 at 30,495 gal, 3.95 ppm/gal), under the 19 ceiling. Projected next noon 14.3 (dose.py mean model, l24 2.24); median model 14.8; band 13.7-15.9 (last-20 p20-p90, excluding the four artifact negatives and the two reagent-era days). On a bad 4.5 ppm day ~12.1, well above floor 10. *** EARLIER THAN THE USUAL ~7 PM, and with more daylight left than a normal evening pour, but the 9/05 finding stands -- sun hours were tested against loss and rejected -- so nothing is adjusted for it. *** FRESH-STOCK WATCH: this is the first pour from the new case, and fresh 12.5% stock is stronger than jugs that have been sitting. If tomorrow's reading lands ABOVE the band, the likely reason is that this gallon was worth more than 3.95 ppm, not that demand vanished. Flagged in advance so it is not read as a chemistry surprise (the stock-strength caveat has been open since 7/21). *** CLOSING: with the cover still not here, this gallon plus the final dose should finish the season if closing lands 10/10-11; one more gallon around 10/11-10/12 if it slips a week.</t>
        </is>
      </c>
      <c r="W189" s="12277" t="n"/>
    </row>
    <row r="190">
      <c r="A190" s="12285" t="inlineStr">
        <is>
          <t>2026-10-08</t>
        </is>
      </c>
      <c r="B190" s="12286" t="inlineStr">
        <is>
          <t>16:00</t>
        </is>
      </c>
      <c r="C190" s="12286" t="inlineStr">
        <is>
          <t>TEST</t>
        </is>
      </c>
      <c r="D190" s="12287" t="n"/>
      <c r="E190" s="12287" t="n">
        <v>17.6</v>
      </c>
      <c r="F190" s="12287" t="n">
        <v>0</v>
      </c>
      <c r="G190" s="12287" t="n">
        <v>-1.1</v>
      </c>
      <c r="H190" s="12287" t="n"/>
      <c r="I190" s="12288" t="n"/>
      <c r="J190" s="12289" t="n"/>
      <c r="K190" s="12289" t="n"/>
      <c r="L190" s="12289" t="n"/>
      <c r="M190" s="12287" t="n"/>
      <c r="N190" s="12287" t="n"/>
      <c r="O190" s="12287" t="n">
        <v>9</v>
      </c>
      <c r="P190" s="12290" t="n">
        <v>0</v>
      </c>
      <c r="Q190" s="12287" t="n"/>
      <c r="R190" s="12287" t="n"/>
      <c r="S190" s="12287" t="n">
        <v>11.2</v>
      </c>
      <c r="T190" s="1047" t="inlineStr">
        <is>
          <t>Sunny and dry. Level 11.2, unchanged. Readings at 4 PM rather than noon -- John could not get outside earlier; the vacuum started after he skimmed a heavy load of leaves.</t>
        </is>
      </c>
      <c r="U190" s="12286" t="inlineStr">
        <is>
          <t>2026-10-08_1.jpg;2026-10-08_2.jpg;2026-10-08_3.jpg;2026-10-08_4.jpg;2026-10-08_5.jpg</t>
        </is>
      </c>
      <c r="V190" s="1047" t="inlineStr">
        <is>
          <t>4:00 PM, then a retest. FIRST READING 94 drops (18.8); RETEST 88 DROPS (17.6), CC 0.0 both times. THE RETEST IS THE VALUE OF RECORD -- the careful repeat, and the only one the mass balance can accommodate. Level 11.2, unchanged. *** 🟢 NOTHING EXOTIC HAPPENED, AND JOHN'S METHOD IS NOT IN QUESTION. The chlorine poured 10/07 was the SAME PRODUCT HE HAS USED ALL SUMMER (his words: 'it's the same shock i have used all summer') -- 'new shock' meant a new CASE of it, bought around 9/29. Nothing from the closing kit has gone in. *** CLAUDE'S MPS/MONOPERSULFATE EXPLANATION IS WITHDRAWN IN FULL, along with the EVENT row drafted for it: it rested on reading 'new shock' as the kit's potassium monopersulfate instead of asking. Third assumed-condition error in a week (10/02 endpoint fade, 10/03 pump hours, today), all covered by the POOL.md rule written on 10/03. Nothing was committed before John corrected it. *** THE NUMBERS, PLAINLY. Yesterday's pre-dose FC was 12.6 at 30,495 gal; 1.0 gal went in at 17:00; a full-strength 12.5% gallon is worth at most ~4.1 ppm here, so the arithmetic ceiling was ~16.7. The retest lands 0.9 ppm (4-5 drops) above that, and the first reading 2.1 above. BOTH SIT INSIDE THIS TEST'S DEMONSTRATED BETWEEN-READING SCATTER -- today's own two readings are 6 drops apart, and the season has produced 3-drop spreads repeatedly (74/77, 78/81, 76/77). Read together with yesterday's 12.6, which was itself three drops off the day before, the whole picture is: FC IS SOMEWHERE AROUND 17, DEMAND IS ESSENTIALLY ZERO in a cold October pool, and no special cause is needed. The mass balance books -1.05, logged as -1.1 and the FIFTH ARTIFACT NEGATIVE of the season (8/20 -0.1, 9/10 -0.6, 10/02 -1.4, 10/07 -0.5); excluded from band calculations like the others. A sliver of it is real: a fresh gallon at 4.1 ppm beats the 3.95 the arithmetic assumes. *** CLOSING PLAN, REVISED DOWN TO ONE GALLON. From ~17.6 falling ~1.1/day: ~16.5 on 10/09, ~15.4 on 10/10, ~14.3 on Sunday 10/11. ONE gallon at closing lands ~18.2-19.3 depending on the day -- inside the 18-20 winter target. Two gallons would overshoot to ~22. Pour it the evening before covering, or that morning, then run the kit in order: Metal Out first with the pump running, the MPS shock next, algaecide LAST, tablets floated, then cover. That leaves ~2 gallons of the case unused. *** ALL FIVE PHOTOS OPENED per the 8/24 rule. BEFORE (_1): a heavy scatter of floating leaves, water clear beneath. Steps (_2): clean, no staining. VACUUM RUNNING (_3): robot in the deep end, surface already skimmed. FILTER (_4), ZOOMED: ~11 psi, thirteenth day in the 10-11 band. Skimmer ruler (_5): 11.2. No canister photos -- the vacuum had only just started. *** THE COVER ARRIVED TODAY; closing expected by Sunday 10/11.</t>
        </is>
      </c>
      <c r="W190" s="12291" t="inlineStr">
        <is>
          <t>leaves; heavy leaves again (John) -- a lot of surface skimming before the vacuum went in; no canister pull yet</t>
        </is>
      </c>
    </row>
    <row r="191">
      <c r="A191" s="12292" t="inlineStr">
        <is>
          <t>2026-10-09</t>
        </is>
      </c>
      <c r="B191" s="12293" t="inlineStr">
        <is>
          <t>12:15</t>
        </is>
      </c>
      <c r="C191" s="12293" t="inlineStr">
        <is>
          <t>TEST</t>
        </is>
      </c>
      <c r="D191" s="12294" t="n"/>
      <c r="E191" s="12294" t="n">
        <v>15.8</v>
      </c>
      <c r="F191" s="12294" t="n">
        <v>0</v>
      </c>
      <c r="G191" s="12294" t="n">
        <v>1.8</v>
      </c>
      <c r="H191" s="12294" t="n"/>
      <c r="I191" s="12295" t="n"/>
      <c r="J191" s="12296" t="n"/>
      <c r="K191" s="12296" t="n"/>
      <c r="L191" s="12296" t="n"/>
      <c r="M191" s="12294" t="n"/>
      <c r="N191" s="12294" t="n"/>
      <c r="O191" s="12294" t="n">
        <v>5</v>
      </c>
      <c r="P191" s="12297" t="n">
        <v>0</v>
      </c>
      <c r="Q191" s="12294" t="n"/>
      <c r="R191" s="12294" t="n"/>
      <c r="S191" s="12294" t="n">
        <v>11.1</v>
      </c>
      <c r="T191" s="1199" t="inlineStr">
        <is>
          <t>Clear, dry and mild. Feed: 69F, 36% RH; sun 5.0h of 5h daylight (100%), high 70F, UV max 4.8, 0.00in precip. Level 11.2 -&gt; 11.1 (-20 gal).</t>
        </is>
      </c>
      <c r="U191" s="12293" t="inlineStr">
        <is>
          <t>2026-10-09_1.jpg;2026-10-09_2.jpg;2026-10-09_3.jpg;2026-10-09_4.jpg</t>
        </is>
      </c>
      <c r="V191" s="1199" t="inlineStr">
        <is>
          <t>12:15 PM. FC 15.8 (79 drops), CC 0.0, level 11.1. Dose row verified first (8/25 rule): 1.0 gal on 10/07 17:00, nothing since. *** WINDOW 16:00 -&gt; 12:15 = 20.25 h, 3.75 h short of 24 and outside tolerance, so this one needs normalising. Mass balance: 17.6 @ 30,495 - 15.8 @ 30,475 =&gt; 1.81 ppm over 20.25 h = 2.15 PPM PER 24 H. The column holds the raw balance (1.8). A touch above the recent 1.1-1.2 but ordinary, and it carries yesterday's uncertainty: the 17.6 it differences against was itself a retest that sat a few drops above the arithmetic ceiling. *** THE SEQUENCE IS BACK TO NORMAL. 10/08's two readings (94 and 88 drops) looked impossible against 12.6 plus a gallon; today's 79 drops sits comfortably below both and gives an ordinary loss. Nothing further to explain -- the explanation that stuck is the simple one: this test's between-reading spread is a few drops, and three readings in a row (12.6, 17.6, 15.8) are all consistent with FC drifting down through the 16-17 range on near-zero autumn demand. No reagent story, no miscount story. *** CANISTER: LIGHT (John), mostly fine leaf litter packed along the mesh rather than whole leaves. 🕷️ THE WOODLOUSE SPIDER IS BACK, and this is the clearest photograph of the season (debris/2026-10-09_4.jpg): reddish-brown legs and front body, pale cream abdomen, among the pill-bug litter it hunts. First flagged as 'probable' on 9/17; the ID is as solid as a photo can make it. Also leaf fragments, fine litter, and a few pill bugs. Exterior panel (debris/_5) light-to-moderate. *** ALL NINE PHOTOS OPENED per the 8/24 rule. Steps and shallow end (_1): clean, NO metal staining. Skimmer ruler (_2): 11.1. FILTER (_3), ZOOMED: ~10 psi, FOURTEENTH day in the 10-11 band -- it has not moved since the leaf drop began. AFTER (_4): clear, clean, dog on the deck. *** NO DOSE TONIGHT: FC 15.8 is above aim, and the closing pour is the next one. *** 🔴 CLOSING ARITHMETIC, with the cover in hand and Sunday 10/11 the expected day. From 15.8 at ~1.5 ppm/day: ~14.3 Saturday noon, ~12.8 Sunday noon. IF CLOSING SATURDAY: 1 gal the night before or that morning =&gt; ~18.3, inside the 18-20 winter target. IF CLOSING SUNDAY: 1 gal only reaches ~16.8, so make it 2 gal =&gt; ~20.7, which is fine for a covered pool nobody swims in. Either way, pour the chlorine FIRST, then the kit in order: Metal Out with the pump running, MPS shock, algaecide LAST and away from the shock, tablets floated, then cover. About 1-2 gallons of the case will be left over. *** 📅 CLOSING PLAN FIXED (John, 10/09): CLOSING SUNDAY 10/11, with 2.0 GAL POURED SATURDAY NIGHT 10/10. That is inside the 12-24 h window before covering, so the chlorine is near its peak when the pool is sealed -- pouring earlier only burns some off first. Expected: ~14.3 Saturday, +7.9 from two gallons =&gt; ~22 at the pour, ~20-21 when the cover goes on Sunday. Above the 18-20 target by a little, which is fine for a covered pool nobody swims in. Pump runs ~1 h after the pour to mix (9/25 practice). A Saturday test is optional -- the pour is 2 gal either way unless the reading is far off. SUNDAY ORDER: Metal Out with the pump running, MPS shock, algaecide LAST and away from the shock, tablets floated, skimmer plate in, then cover. Pillows half to two-thirds inflated, water blocks two-thirds full, so both have room to compress when the ice expands.</t>
        </is>
      </c>
      <c r="W191" s="12298" t="inlineStr">
        <is>
          <t>leaves+pillbugs+insects; light (John) -- some surface leaves skimmed; canister: fine leaf litter, pill bugs, and the clearest woodlouse spider photo of the season</t>
        </is>
      </c>
    </row>
    <row r="192">
      <c r="A192" s="12243" t="inlineStr">
        <is>
          <t>2026-10-10</t>
        </is>
      </c>
      <c r="B192" s="12244" t="inlineStr">
        <is>
          <t>15:15</t>
        </is>
      </c>
      <c r="C192" s="12244" t="inlineStr">
        <is>
          <t>TEST</t>
        </is>
      </c>
      <c r="D192" s="12245" t="n"/>
      <c r="E192" s="12245" t="n">
        <v>13.6</v>
      </c>
      <c r="F192" s="12245" t="n">
        <v>0</v>
      </c>
      <c r="G192" s="12245" t="n">
        <v>2.2</v>
      </c>
      <c r="H192" s="12245" t="n"/>
      <c r="I192" s="12246" t="n"/>
      <c r="J192" s="12247" t="n"/>
      <c r="K192" s="12247" t="n"/>
      <c r="L192" s="12247" t="n"/>
      <c r="M192" s="12245" t="n"/>
      <c r="N192" s="12245" t="n"/>
      <c r="O192" s="12245" t="n">
        <v>8</v>
      </c>
      <c r="P192" s="12248" t="n">
        <v>0</v>
      </c>
      <c r="Q192" s="12245" t="n"/>
      <c r="R192" s="12245" t="n"/>
      <c r="S192" s="12245" t="n">
        <v>10.7</v>
      </c>
      <c r="T192" s="624" t="inlineStr">
        <is>
          <t>Mainly clear, dry and cool. Feed: 67F, 37% RH; sun 8.0h of 8h daylight (100%), high 67F, UV max 4.6, 0.00in precip. Level 11.1 -&gt; 10.7 (-78 gal).</t>
        </is>
      </c>
      <c r="U192" s="12244" t="inlineStr">
        <is>
          <t>2026-10-10_1.jpg;2026-10-10_2.jpg;2026-10-10_3.jpg;2026-10-10_4.jpg;2026-10-10_5.jpg;2026-10-10_6.jpg</t>
        </is>
      </c>
      <c r="V192" s="624" t="inlineStr">
        <is>
          <t>3:15 PM. FC 13.6 (68 drops), CC 0.0, level 10.7. Dose row verified first (8/25 rule): last dose 1.0 gal on 10/07 17:00, nothing since, cum stays 65.0. *** WINDOW 12:15 -&gt; 15:15 = 27.0 h, 3 h long and outside tolerance, so this one needs normalising. Mass balance: 15.8 @ 30,475 - 13.6 @ 30,397 =&gt; 2.24 ppm over 27 h = 1.99 PPM PER 24 H. The column holds the raw balance (2.2). That lands on the nose of the last-20 median (1.80) and well inside the band (p20 0.78, p90 3.06). An ordinary day -- and notably the first genuinely ordinary differencing since 10/06, after three artifact negatives and a retest. *** ARITHMETIC FLAG, 0.2 PPM: 68 drops x 0.2 = 13.6, but John wrote 13.4, which is 67 drops. One of the two is a one-drop slip and there is no way to tell which from here. RECORDED THE DROP COUNT (13.6), which is the convention all season -- the count is the raw observation, the ppm is derived. Nothing turns on it: at 13.4 the balance is 2.44 raw / 2.17 per 24 h, also mid-band, and the closing dose is 2.0 gal either way. *** FORECAST SCORED. The 10/09 closing-plan note projected ~14.3 for Saturday noon (15.8 falling ~1.5/day). Actual 13.6, but at 3:15 PM rather than noon; put the prediction on the same 27 h window and it becomes ~14.1. SO THE MISS IS ~0.5 PPM HIGH -- two or three drops, inside this test's own between-reading scatter. The ~1.5/day assumption is running a touch slow; the trailing median says 1.8. *** ALL THREE PHOTOS OPENED per the 8/24 rule. STEPS AND SHALLOW END (_1): water clear to the bottom, NO metal staining, a couple of leaf fragments resting on the lowest step. SKIMMER RULER (_2): 10.7. *** THE LEVEL IS JOHN'S MEASUREMENT, FULL STOP (his correction, 10/10). Claude zoomed this photo twice and wrote into the log that its own read of the wet line looked nearer 11 -- pointless, and wrong on method. THE PHOTO IS A SINGLE FRAME OF A MOVING SURFACE. John stands at the skimmer and records the MEDIAN OF WHAT THE WATER DOES over a little while, which is strictly the better estimator; one frame of a waving surface cannot improve on it and should not be offered against it. New POOL.md rule. The arithmetic was never in question: 10.7 vs 11 moves the mass balance by 0.04 ppm. WIDE SHOT (_3): clear water and a light scatter of leaf fragments across the far half. THE DARK OBJECT IN THE FAR THIRD IS THE ROBOT VACUUM (John, same day). Claude zoomed it to the pixel limit and called it a probable waterlogged leaf clump -- WRONG, AND AVOIDABLY SO. John's own report at the top of this entry says the vacuum was still running; a dark rectangular object sitting in the deep end with a shadow under it had an obvious identity already on the table, and it was also described as 'on the surface' when the robot was on the floor. The zoom happened; the cross-check against what John had just said did not. The 8/24 rule is about opening every photo -- this is the companion failure: reading a photo without the day's stated conditions beside it. THE DIVING BOARD IS STILL MOUNTED in this frame; removal was on today's list. No canister photos -- the vacuum was still running at report time. *** LEVEL: 11.1 -&gt; 10.7, -0.4 cm = ~78 gal, on a dry 67F day at 37% RH with no rain. Ordinary evaporation; the week reads 11.7, 11.9, 11.2, 11.2, 11.1, 10.7. *** CLOSING DOSE TONIGHT: 2.0 GALLONS, unchanged from the plan fixed on 10/09. 13.6 + 7.92 = ~21.5 at the pour. If the cover goes on Sunday: ~19.5. If rain pushes it to Monday: ~17.5. Both land in or beside the 18-20 winter target, so ONE POUR COVERS EITHER DAY and no second dose is needed if it slips. 21.5 is above the 19.0 swim ceiling on purpose -- the season is over and nobody is getting in; at CYA 148 that is 14.5% FC/CYA, nowhere near a liner concern. *** 🔴 KIT TIMING, John's question: CAN THE CLOSING CHEMICALS GO IN EARLY IF SUNDAY IS RAINED OUT? Split answer. METAL OUT CAN GO IN EARLY -- it wants circulation, the pump is still on the timer, and a day of sitting costs it little (POOL.md already notes high FC depletes HEDP slowly, which is true on Sunday or Monday alike). THE OTHER THREE WAIT FOR THE DAY THE COVER ACTUALLY GOES ON. The MPS shock is a fast oxidiser largely spent in 24-48 h; its whole job is to burn organics immediately before the water is sealed, so added two days early it is mostly gone before the cover arrives. The quat algaecide is destroyed by chlorine over time and foams if it is circulated, so its clock should start when the cover does. The floating MPS tablets are slow-release over weeks, so their timing is indifferent -- send them in on the same trip. Mitigating note on the quat: at CYA 148 almost all of the ~20 ppm FC is bound to cyanurate, so the hypochlorous acid the algaecide actually meets is a small fraction of that number, and the usual 'high chlorine eats your algaecide' worry is much weaker in this pool than in a low-CYA one. *** PRACTICAL: do not fight a solid tarp in the rain if Monday is available -- a wet cover is heavy and hard to position, and the water blocks are easier to set dry. Nothing in the water degrades over one extra day. *** 🧹 CANISTER AND FINAL-STATE PHOTOS (added after the vacuum finished; nine images in all, EVERY ONE OPENED). SIX CANISTER SHOTS in debris/: five interior, one exterior panel. INTERIOR (debris/_1 through _5): the load is banked along one side of the tray -- OAK LEAVES (lobed, red-oak group, several still green), maple and other broadleaf fragments, one bright red leaf and several yellows, plus a yellowed spotted leaf that is just a leaf, not an animal. The tray floor is otherwise largely bare, which is what a light day looks like. The mesh carries FINE REDDISH NEEDLE LITTER across every panel -- conifer needle fragments and broken leaf, no macro-organisms caught in it. 🐛 ONE MILLIPEDE, clearly resolved in debris/_4: cylindrical body of uniform width with regular annuli, mid-brown. That ID is solid. SEVERAL OTHER SMALL OBJECTS WERE ZOOMED AND LEFT UNNAMED -- a pale segmented strip in _2, a brown ovoid and a dark red rounded object in _3, a small yellow-orange fleck in _4, a pale shape in _5. Every one of them is past the resolution of the photograph; each could be a seed, an acorn, a curled leaf edge or a small animal, and after today's vacuum error the right thing is to flag them rather than guess. EXTERIOR PANEL (debris/_6): fine litter scattered over all eight panels, heavier along the bottom edges, LIGHT-TO-MODERATE and nothing coarse. *** 🏁 FINAL-STATE PHOTOS (_4, _5, _6), the last pool shots of the 2026 season unless closing slips. From the deep end (_4), the steps corner (_5) and the far side (_6): THE SURFACE IS COMPLETELY CLEAR in all three -- no floating leaves, no debris, no vacuum in the water. Water clear to the bottom, liner clean, NO STAINING anywhere in frame. THE DIVING BOARD IS GONE -- it was still mounted in _3 this afternoon and its stand is empty in _4. The WATER BLOCKS are staged in a row along the fence line, filled and capped (zoomed in _4), with the new cover's carton leaning against the hedge behind them. John's report confirms both: board off, blocks filled and covered.</t>
        </is>
      </c>
      <c r="W192" s="12249" t="inlineStr">
        <is>
          <t>leaves+millipedes; light-to-moderate (canister) -- oak and maple litter banked along one side of the tray, fine needle litter plastered on the mesh, one millipede; LAST VACUUM CLEAN-OUT OF THE SEASON</t>
        </is>
      </c>
    </row>
    <row r="193">
      <c r="A193" s="12250" t="inlineStr">
        <is>
          <t>2026-10-10</t>
        </is>
      </c>
      <c r="B193" s="12251" t="inlineStr">
        <is>
          <t>16:15</t>
        </is>
      </c>
      <c r="C193" s="12251" t="inlineStr">
        <is>
          <t>DOSE</t>
        </is>
      </c>
      <c r="D193" s="12252" t="n"/>
      <c r="E193" s="12252" t="n"/>
      <c r="F193" s="12252" t="n"/>
      <c r="G193" s="12252" t="n"/>
      <c r="H193" s="12252" t="n">
        <v>19.7</v>
      </c>
      <c r="I193" s="12253" t="n"/>
      <c r="J193" s="12254" t="n"/>
      <c r="K193" s="12254" t="n"/>
      <c r="L193" s="12254" t="n"/>
      <c r="M193" s="12252" t="n">
        <v>2</v>
      </c>
      <c r="N193" s="12252" t="n">
        <v>67</v>
      </c>
      <c r="O193" s="12252" t="n"/>
      <c r="P193" s="12255" t="n"/>
      <c r="Q193" s="12252" t="n"/>
      <c r="R193" s="12252" t="n"/>
      <c r="S193" s="12252" t="n"/>
      <c r="T193" s="631" t="n"/>
      <c r="U193" s="12251" t="n"/>
      <c r="V193" s="631" t="inlineStr">
        <is>
          <t>🔴 THE CLOSING DOSE. 2.0 gallons poured at 4:15 PM, one hour after the 3:15 test, exactly as planned on 10/09 and confirmed this afternoon. SEASON TOTAL 67.0 GALLONS. *** ARITHMETIC: 13.6 + (2.0 x 120,400 / 30,397) = 13.6 + 7.92 = ~21.5 ppm at the pour. Projected ~19.7 at Sunday noon and ~17.5 if the cover does not go on until Monday -- ONE POUR COVERS EITHER DAY, which was the point of doing it tonight rather than splitting it. No second dose is needed if the weather pushes closing back. *** 21.5 IS ABOVE THE 19.0 SWIM CEILING ON PURPOSE. The season is over, nobody is getting in, and at CYA 148 this is 14.5% FC/CYA -- an ordinary ratio, nowhere near a liner or equipment concern. The whole winter sanitiser budget is this pour: NOTHING IN THE CLOSING KIT ADDS CHLORINE (both the shock and the tablets are MPS, an oxidiser). *** PRED NEXT NOON 19.7, and it may never be scored -- if the cover goes on Sunday there is no noon test to score it against. Logging it anyway so the series stays complete. *** WHERE THIS LEAVES THE SEASON: 67.0 gallons of 12.5% across 2026, the last of them going in on the last day the pump runs. The case bought around 9/29 should have roughly a gallon left over. *** TOMORROW, IF IT HAPPENS: Metal Out first with the pump running, then the MPS shock, then the algaecide LAST and away from the shock, tablets floated, skimmer plate in, pump off, cover on. Pillows half to two-thirds inflated, water blocks two-thirds full so both can give when the ice expands. IF RAIN WASHES SUNDAY OUT: Metal Out may still go in, the other three wait for the day the cover actually goes on (rule written into POOL.md today). *** 📋 AMENDMENT, same evening: John has ONE GALLON OF 12.5% LEFT that he does not expect to keep its strength to spring, and asked whether to dump it in at closing. ANSWER: YES, AND POUR IT FIRST TOMORROW -- before the Metal Out, with the pump running, so it is fully mixed before the sequestrant and the algaecide arrive rather than hitting them as a slug. That would make the closing total 3.0 gal and the SEASON TOTAL 68.0. *** ARITHMETIC: ~19.9 at Sunday noon from tonight's pour, +3.96 = ~23.9 under the cover. At CYA 148 that is 16.1% FC/CYA -- between the target and SLAM levels for this stabiliser, which is unremarkable territory, not an overdose. *** THE ONE REAL COST is that the quat algaecide and the HEDP sequestrant are both consumed by chlorine, so ~24 instead of ~20 means roughly a fifth more oxidant pressure on each of them. At CYA 148 nearly all the FC is bound to cyanurate, so the active HOCl they actually meet is a small fraction of either number -- the cost is real but small, and it is the only argument against. *** HONEST COUNTERPOINT, since John's premise may be a touch pessimistic: hypochlorite degrades far more slowly cold than warm, so a jug kept in an unheated garage could still be ~8-10% in April -- a usable opening dose, just at an unknown strength. The tilt to pouring it is that an unknown-strength jug is a nuisance to dose with, there is no meaningful downside to the extra 4 ppm here, and a few more weeks of winter residual is worth more than a guess in spring. If John would rather keep it, keeping it is defensible too.</t>
        </is>
      </c>
      <c r="W193" s="12256" t="n"/>
    </row>
    <row r="194">
      <c r="A194" s="12257" t="inlineStr">
        <is>
          <t>2026-10-11</t>
        </is>
      </c>
      <c r="B194" s="12258" t="inlineStr">
        <is>
          <t>08:45</t>
        </is>
      </c>
      <c r="C194" s="12258" t="inlineStr">
        <is>
          <t>DOSE</t>
        </is>
      </c>
      <c r="D194" s="12259" t="n"/>
      <c r="E194" s="12259" t="n"/>
      <c r="F194" s="12259" t="n"/>
      <c r="G194" s="12259" t="n"/>
      <c r="H194" s="12259" t="n">
        <v>23.9</v>
      </c>
      <c r="I194" s="12260" t="n"/>
      <c r="J194" s="12261" t="n"/>
      <c r="K194" s="12261" t="n"/>
      <c r="L194" s="12261" t="n"/>
      <c r="M194" s="12259" t="n">
        <v>1</v>
      </c>
      <c r="N194" s="12259" t="n">
        <v>68</v>
      </c>
      <c r="O194" s="12259" t="n"/>
      <c r="P194" s="12262" t="n"/>
      <c r="Q194" s="12259" t="n"/>
      <c r="R194" s="12259" t="n"/>
      <c r="S194" s="12259" t="n"/>
      <c r="T194" s="813" t="n"/>
      <c r="U194" s="12258" t="n"/>
      <c r="V194" s="813" t="inlineStr">
        <is>
          <t>🏁 THE LAST CHLORINE OF THE 2026 SEASON. 1.0 gallon at 8:45 AM, the leftover jug, poured first in the closing sequence per the 10/10 amendment. SEASON TOTAL 68.0 GALLONS. *** ARITHMETIC: Saturday's pour left ~21.5 at 16:15; over the 16.5 h to 8:45 at ~1.9/24 h that is ~20.2 going in, +3.96 = ~24.2 PPM NOW. At CYA 148 that is 16.3% FC/CYA -- between target and SLAM for this stabiliser, ordinary territory for a covered pool nobody swims in. Pred next noon 23.9, logged for completeness and NOT EXPECTED TO BE SCORED: if the cover goes on today there is no noon test to score it against. *** ☔ THE WEATHER WINDOW DECIDED THE DAY. 9:00 AM feed: overcast, 53F, 82% RH, 0.00in so far, but 1.05in forecast for the day. The hourly breakdown is what matters and it is favourable -- RAIN PROBABILITY STAYS UNDER 30% THROUGH 1 PM AND MEANINGFUL PRECIPITATION DOES NOT START UNTIL 4 PM (0.16in at 16:00, 0.21 at 17:00, 0.34 at 18:00). The full 3.5 h chemical sequence from an 8:45 start finishes about 12:15 and the cover can be on by ~2 PM, roughly two hours clear of the rain. TODAY IS A GO; the Monday fallback is not needed. *** TODAY'S CLOCK, from the actual pour time: 8:45 chlorine (done) -&gt; 9:45 METAL OUT -&gt; 10:45 MPS SHOCK -&gt; 11:45 ALGAECIDE at the far end from the shock -&gt; ~12:15 tablets floated, skimmer plate in, PUMP OFF -&gt; pillows floated and tied, cover, blocks. Each gap is a mixing wait, not a reaction wait. *** IF THE RAIN ARRIVES EARLY AND THE COVER CANNOT GO ON: the Metal Out may stay in, but the shock, algaecide and tablets wait for the day the cover actually goes on, and NO FURTHER CHLORINE IS NEEDED -- 24.2 decays to roughly 22 by Monday noon, still well inside the winter target. *** RAIN IS NOT A CHEMISTRY PROBLEM EITHER WAY. 1.05in into this pool is ~2.7 cm, ~520 gal, which would take the level from 10.7 to ~13.4 -- a welcome rise given how low it sits -- and dilutes FC by under 2%, about 0.4 ppm. Immaterial.</t>
        </is>
      </c>
      <c r="W194" s="12263" t="n"/>
    </row>
    <row r="195">
      <c r="A195" s="12271" t="inlineStr">
        <is>
          <t>2026-10-11</t>
        </is>
      </c>
      <c r="B195" s="12272" t="inlineStr">
        <is>
          <t>10:40</t>
        </is>
      </c>
      <c r="C195" s="12272" t="inlineStr">
        <is>
          <t>EVENT - Closing</t>
        </is>
      </c>
      <c r="D195" s="12273" t="n"/>
      <c r="E195" s="12273" t="n"/>
      <c r="F195" s="12273" t="n"/>
      <c r="G195" s="12273" t="n"/>
      <c r="H195" s="12273" t="n"/>
      <c r="I195" s="12274" t="n"/>
      <c r="J195" s="12275" t="n"/>
      <c r="K195" s="12275" t="n"/>
      <c r="L195" s="12275" t="n"/>
      <c r="M195" s="12273" t="n"/>
      <c r="N195" s="12273" t="n"/>
      <c r="O195" s="12273" t="n"/>
      <c r="P195" s="12276" t="n"/>
      <c r="Q195" s="12273" t="n"/>
      <c r="R195" s="12273" t="n"/>
      <c r="S195" s="12273" t="n"/>
      <c r="T195" s="827" t="n"/>
      <c r="U195" s="12272" t="n"/>
      <c r="V195" s="827" t="inlineStr">
        <is>
          <t>🧊 CLOSING STEP 2 OF 6: METAL OUT IN AT 10:40 AM (planned 9:45; John had to go out and buy antifreeze for the filter first). Added with the pump running per the kit order. Chlorine went in at 8:45 and had circulated ~2 h by then, comfortably more than the 1 h the mixing needs. *** 📅 CLOSING PUSHED TO MONDAY 10/12 -- JOHN'S CALL, AND THE RIGHT ONE. His reasons: the wind is picking up, leaves are coming down onto the water, and he would rather take ONE LAST SKIM AFTER THE RAIN so the pool goes under the cover as clean as it can be. That is a judgement from standing at the pool, about what is actually landing on the water -- exactly the kind of thing the feed cannot see. THIS IS THE CASE THE 10/10 RULE WAS WRITTEN FOR: Metal Out may go in early, the MPS shock, the algaecide and the tablets wait for the day the cover actually goes on. Nothing is lost by the delay. Pillows to be inflated today. *** 🔴 NO MORE CHLORINE. FC was ~24.2 after the 8:45 pour; at ~1.9/24 h it reaches ~22.0 by Monday noon, and tonight's rain dilutes it by roughly another 0.4, so ~21.6 going under the cover. Comfortably inside the winter target and above it if anything. A third pour would be waste. *** ☔ TONIGHT AND MONDAY, from the 11:00 feed. Rain arrives later than this morning's run showed: real precipitation from about 7 PM (0.34in at 19:00, 0.30 at 20:00), with GUSTS TO 32 MPH AT 9 PM -- which is precisely why there will be a fresh leaf load to skim in the morning. MONDAY IS A BETTER CLOSING DAY THAN TODAY IN EVERY RESPECT: dry all day (0-5% precipitation 8 AM to 6 PM), winds 7-10 mph with GUSTS EASING FROM 26 AT 8 AM TO 17-21 AFTER 11 AM. Wind is the real enemy when a big solid tarp is being positioned, so the useful window is MIDDAY ONWARD rather than first thing. *** MONDAY'S SEQUENCE IS SHORT, because the Metal Out is already in: skim -&gt; MPS SHOCK -&gt; 1 h -&gt; ALGAECIDE at the far end from the shock -&gt; ~30 min -&gt; tablets floated, skimmer plate in, PUMP OFF -&gt; pillows floated and tied, cover, blocks. About 1.5-2 h of chemistry instead of today's 3.5. *** 📋 OPEN ITEM FOR MONDAY, not yet mentioned by John: THE D.E. FILTER ANNUAL TEARDOWN. POOL.md has it as a fixed closing task regardless of pressure -- pull the grids, hose them, inspect the fabric. The DE comes out at closing anyway, and the antifreeze bought this morning is the other half of that job. *** 📋 FILTER TEARDOWN DEFERRED TO NEXT WEEKEND (John, same day): 'i will likely do the filter teardown next weekend once cover is set.' Fine, with one separation worth keeping straight: THE FREEZE-CRITICAL STEP IS DRAINING, NOT THE TEARDOWN. Pulling the drain plugs on the filter and pump takes a couple of minutes and removes the risk entirely; pulling and hosing the grids is a cleaning job with no deadline. *** 🌡️ THE FORECAST MAKES THIS WORTH SAYING OUT LOUD, because the timing is tighter than it looks. Lows stay comfortably mild through 10/16 (46-64F, nothing under 36.8). THEN THE FIRST COLD SNAP LANDS EXACTLY ON THE TEARDOWN WEEKEND: 10/17 low 36.8, 10/18 low 32.7, AND 10/19 LOW 30.0 -- the season's first real freeze, the night after the Sunday of that weekend. A Saturday 10/17 teardown clears it; a slip to Sunday evening or later does not. And a 16-day forecast is soft past about a week, so that 10/19 date could move two days in either direction. *** SO: if the plugs come out tomorrow with the cover, the deferral carries NO RISK AT ALL and the date can move freely. If the housing is left full of water until next weekend, the plan is riding on a long-range forecast holding. Flagged, not prescribed -- John has closed this pool for years and may already pull the plugs as a matter of course. *** ✅ RESOLVED SAME DAY (John): 'the filter will be drained when i close tomorrow.. there won't be standing water in it.. but me cleaning the DE off the fingers will happen next weekend.. no worries about the freezing.' So the plugs come out with the cover and only the grid cleaning is deferred -- the no-risk branch. The 10/19 freeze is irrelevant and the teardown date can float. NOTE JOHN'S TERM: he calls the filter elements the FINGERS.</t>
        </is>
      </c>
      <c r="W195" s="12277" t="n"/>
    </row>
    <row r="196">
      <c r="A196" s="12285" t="inlineStr">
        <is>
          <t>2026-10-12</t>
        </is>
      </c>
      <c r="B196" s="12286" t="inlineStr">
        <is>
          <t>09:30</t>
        </is>
      </c>
      <c r="C196" s="12286" t="inlineStr">
        <is>
          <t>EVENT - Closing</t>
        </is>
      </c>
      <c r="D196" s="12287" t="n"/>
      <c r="E196" s="12287" t="n"/>
      <c r="F196" s="12287" t="n"/>
      <c r="G196" s="12287" t="n"/>
      <c r="H196" s="12287" t="n"/>
      <c r="I196" s="12288" t="n"/>
      <c r="J196" s="12289" t="n"/>
      <c r="K196" s="12289" t="n"/>
      <c r="L196" s="12289" t="n"/>
      <c r="M196" s="12287" t="n"/>
      <c r="N196" s="12287" t="n"/>
      <c r="O196" s="12287" t="n"/>
      <c r="P196" s="12290" t="n">
        <v>1.64</v>
      </c>
      <c r="Q196" s="12287" t="n"/>
      <c r="R196" s="12287" t="n"/>
      <c r="S196" s="12287" t="n">
        <v>15.4</v>
      </c>
      <c r="T196" s="1047" t="n"/>
      <c r="U196" s="12286" t="n"/>
      <c r="V196" s="1047" t="inlineStr">
        <is>
          <t>📏 THE SEASON'S LAST LEVEL READING: 15.4 cm, John, ~9:30 AM on closing morning. *** THE RAIN, MEASURED PROPERLY: 10.7 -&gt; 15.4 = +4.7 cm = +923 GALLONS over the ~42 h since Saturday's test. As rainfall that is 1.85 IN ON THE RULER against 1.64 IN ON THE FEED -- the ruler reads 113% of the model. Add the ~0.3-0.5 cm of evaporation that ran the other way over the same 42 h and the true input is nearer 2.0 in. *** 🔴 NOTE THE CONTRAST WITH 9/20, when the ruler showed roughly a THIRD of the feed's 0.41 in. The two misses go in OPPOSITE DIRECTIONS, which rules out a one-way explanation. Deck runoff into the pool can only push the ruler ABOVE the feed, so it may well contribute today but cannot explain 9/20. What both are consistent with is the plain fact that OPEN-METEO IS A GRIDDED MODEL INTERPOLATED TO A POINT, NOT A GAUGE IN JOHN'S YARD, and +/-30% at a point is ordinary for one. THE FEED IS A USEFUL PRIOR; THE RULER IS THE MEASUREMENT. Same lesson as FC and the level itself -- the instrument at the pool wins. *** 🧊 FC GOING UNDER THE COVER, recomputed on the real volume: 24.18 after the 8:45 pour Sunday, less 1.96 ppm of decay over 24.75 h = 22.2, then diluted by the rain (30,397 -&gt; 31,320 gal) to ~21.5 PPM. Above the 18-20 winter target, which is the right side to be on. NO FURTHER CHLORINE -- this is the third day running that the answer has been no, and 68.0 gal remains the season total. *** 💧 AND THE LEVEL ITSELF IS A GIFT. 15.4 sits just 0.41 cm under the 15.81 full reference -- the pool goes under the cover ESSENTIALLY FULL after spending the autumn 4-5 cm low. That is exactly what is wanted behind a skimmer plate: John does not pump down to below the skimmer, so a high level means more water under the cover, less concentration swing over the winter, and less to add in spring. The 10/10 worry about closing at 10.7 is simply gone.</t>
        </is>
      </c>
      <c r="W196" s="12291" t="n"/>
    </row>
  </sheetData>
  <mergeCells count="1">
    <mergeCell ref="A2:D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36"/>
  <sheetViews>
    <sheetView zoomScaleNormal="100" workbookViewId="0">
      <selection activeCell="A1" sqref="A1"/>
    </sheetView>
  </sheetViews>
  <sheetFormatPr baseColWidth="8" defaultColWidth="8.7109375" defaultRowHeight="15"/>
  <cols>
    <col width="30" customWidth="1" min="1" max="1"/>
    <col width="70" customWidth="1" min="2" max="2"/>
  </cols>
  <sheetData>
    <row r="1" ht="15" customHeight="1">
      <c r="A1" s="1" t="inlineStr">
        <is>
          <t>POOL REFERENCE</t>
        </is>
      </c>
      <c r="B1" s="2" t="n"/>
    </row>
    <row r="2" ht="15" customHeight="1">
      <c r="A2" s="3" t="n"/>
      <c r="B2" s="2" t="n"/>
    </row>
    <row r="3" ht="15" customHeight="1">
      <c r="A3" s="3" t="inlineStr">
        <is>
          <t>Pool volume</t>
        </is>
      </c>
      <c r="B3" s="2" t="inlineStr">
        <is>
          <t>~34,400 gallons (20x40, 3 ft -&gt; 8.5 ft slope, avg 5.75 ft)</t>
        </is>
      </c>
    </row>
    <row r="4" ht="15" customHeight="1">
      <c r="A4" s="3" t="inlineStr">
        <is>
          <t>Liner</t>
        </is>
      </c>
      <c r="B4" s="2" t="inlineStr">
        <is>
          <t>Vinyl</t>
        </is>
      </c>
    </row>
    <row r="5" ht="15" customHeight="1">
      <c r="A5" s="3" t="inlineStr">
        <is>
          <t>Pump</t>
        </is>
      </c>
      <c r="B5" s="2" t="inlineStr">
        <is>
          <t>Hayward Super Pump SP1600, 3/4 HP, 120V (motor SPX1605Z1M)</t>
        </is>
      </c>
    </row>
    <row r="6" ht="15" customHeight="1">
      <c r="A6" s="3" t="inlineStr">
        <is>
          <t>Filter</t>
        </is>
      </c>
      <c r="B6" s="2" t="inlineStr">
        <is>
          <t>Pentair Nautilus FNS Plus 48 sq ft D.E.</t>
        </is>
      </c>
    </row>
    <row r="7" ht="15" customHeight="1">
      <c r="A7" s="3" t="inlineStr">
        <is>
          <t>Multiport valve</t>
        </is>
      </c>
      <c r="B7" s="2" t="inlineStr">
        <is>
          <t>Praher SM10-2D.E. (G-416 spider gasket replaced)</t>
        </is>
      </c>
    </row>
    <row r="8" ht="15" customHeight="1">
      <c r="A8" s="3" t="inlineStr">
        <is>
          <t>Well flow rate</t>
        </is>
      </c>
      <c r="B8" s="2" t="inlineStr">
        <is>
          <t>~3.1 GPM (5 gal / 96 sec)</t>
        </is>
      </c>
    </row>
    <row r="9" ht="15" customHeight="1">
      <c r="A9" s="3" t="n"/>
      <c r="B9" s="2" t="n"/>
    </row>
    <row r="10" ht="15" customHeight="1">
      <c r="A10" s="1" t="inlineStr">
        <is>
          <t>CHLORINE / DOSING</t>
        </is>
      </c>
      <c r="B10" s="2" t="n"/>
    </row>
    <row r="11" ht="15" customHeight="1">
      <c r="A11" s="3" t="inlineStr">
        <is>
          <t>Chlorine product</t>
        </is>
      </c>
      <c r="B11" s="2" t="inlineStr">
        <is>
          <t>Pool Tech 12.5% sodium hypochlorite (liquid)</t>
        </is>
      </c>
    </row>
    <row r="12" ht="15" customHeight="1">
      <c r="A12" s="3" t="inlineStr">
        <is>
          <t>Dosing rule</t>
        </is>
      </c>
      <c r="B12" s="2" t="inlineStr">
        <is>
          <t>~1 gallon raises FC ~3.5 ppm in this pool</t>
        </is>
      </c>
    </row>
    <row r="13" ht="15" customHeight="1">
      <c r="A13" s="3" t="n"/>
      <c r="B13" s="2" t="inlineStr">
        <is>
          <t>(~36 oz per +1 ppm)</t>
        </is>
      </c>
    </row>
    <row r="14" ht="15" customHeight="1">
      <c r="A14" s="3" t="n"/>
      <c r="B14" s="2" t="n"/>
    </row>
    <row r="15" ht="15" customHeight="1">
      <c r="A15" s="3" t="inlineStr">
        <is>
          <t>TARGET BANDS (depend on CYA)</t>
        </is>
      </c>
      <c r="B15" s="2" t="n"/>
    </row>
    <row r="16" ht="15" customHeight="1">
      <c r="A16" s="3" t="inlineStr">
        <is>
          <t>At CYA ~160 (current)</t>
        </is>
      </c>
      <c r="B16" s="2" t="inlineStr">
        <is>
          <t>FC floor 11, target 13-16, aim ~16 when dosing</t>
        </is>
      </c>
    </row>
    <row r="17" ht="15" customHeight="1">
      <c r="A17" s="3" t="inlineStr">
        <is>
          <t>At CYA ~100</t>
        </is>
      </c>
      <c r="B17" s="2" t="inlineStr">
        <is>
          <t>FC floor 7, target ~11</t>
        </is>
      </c>
    </row>
    <row r="18" ht="15" customHeight="1">
      <c r="A18" s="3" t="inlineStr">
        <is>
          <t>At CYA ~80</t>
        </is>
      </c>
      <c r="B18" s="2" t="inlineStr">
        <is>
          <t>FC ~6-9</t>
        </is>
      </c>
    </row>
    <row r="19" ht="15" customHeight="1">
      <c r="A19" s="3" t="inlineStr">
        <is>
          <t>At CYA ~50</t>
        </is>
      </c>
      <c r="B19" s="2" t="inlineStr">
        <is>
          <t>FC ~4-6</t>
        </is>
      </c>
    </row>
    <row r="20" ht="15" customHeight="1">
      <c r="A20" s="3" t="n"/>
      <c r="B20" s="2" t="n"/>
    </row>
    <row r="21" ht="15" customHeight="1">
      <c r="A21" s="1" t="inlineStr">
        <is>
          <t>CURRENT CHEMISTRY STATUS</t>
        </is>
      </c>
      <c r="B21" s="2" t="n"/>
    </row>
    <row r="22" ht="15" customHeight="1">
      <c r="A22" s="3" t="inlineStr">
        <is>
          <t>pH 7.3</t>
        </is>
      </c>
      <c r="B22" s="2" t="inlineStr">
        <is>
          <t>Fine, leave alone</t>
        </is>
      </c>
    </row>
    <row r="23" ht="15" customHeight="1">
      <c r="A23" s="3" t="inlineStr">
        <is>
          <t>TA ~130-140</t>
        </is>
      </c>
      <c r="B23" s="2" t="inlineStr">
        <is>
          <t>Slightly high, drifting down on its own, leave</t>
        </is>
      </c>
    </row>
    <row r="24" ht="15" customHeight="1">
      <c r="A24" s="3" t="inlineStr">
        <is>
          <t>CH ~150-160</t>
        </is>
      </c>
      <c r="B24" s="2" t="inlineStr">
        <is>
          <t>Vinyl liner - ignore, do not add calcium</t>
        </is>
      </c>
    </row>
    <row r="25" ht="15" customHeight="1">
      <c r="A25" s="3" t="inlineStr">
        <is>
          <t>CYA ~160</t>
        </is>
      </c>
      <c r="B25" s="2" t="inlineStr">
        <is>
          <t>High; lowering passively via backwash+freshwater, rain, top-offs</t>
        </is>
      </c>
    </row>
    <row r="26" ht="15" customHeight="1">
      <c r="A26" s="3" t="inlineStr">
        <is>
          <t>CC</t>
        </is>
      </c>
      <c r="B26" s="2" t="inlineStr">
        <is>
          <t>Keep at/near 0 (high FC clears it)</t>
        </is>
      </c>
    </row>
    <row r="27" ht="15" customHeight="1">
      <c r="A27" s="3" t="n"/>
      <c r="B27" s="2" t="n"/>
    </row>
    <row r="28" ht="15" customHeight="1">
      <c r="A28" s="1" t="inlineStr">
        <is>
          <t>TESTING METHOD</t>
        </is>
      </c>
      <c r="B28" s="2" t="n"/>
    </row>
    <row r="29" ht="15" customHeight="1">
      <c r="A29" s="3" t="inlineStr">
        <is>
          <t>FC/CC</t>
        </is>
      </c>
      <c r="B29" s="2" t="inlineStr">
        <is>
          <t>ALWAYS 25 mL fill, drops x 0.2</t>
        </is>
      </c>
    </row>
    <row r="30" ht="15" customHeight="1">
      <c r="A30" s="3" t="inlineStr">
        <is>
          <t>Routine</t>
        </is>
      </c>
      <c r="B30" s="2" t="inlineStr">
        <is>
          <t>Test + dose at noon daily (test first, then dose)</t>
        </is>
      </c>
    </row>
    <row r="31" ht="15" customHeight="1">
      <c r="A31" s="3" t="inlineStr">
        <is>
          <t>Pump schedule</t>
        </is>
      </c>
      <c r="B31" s="2" t="inlineStr">
        <is>
          <t>On ~7 AM, off ~10 PM</t>
        </is>
      </c>
    </row>
    <row r="32" ht="15" customHeight="1">
      <c r="A32" s="3" t="n"/>
      <c r="B32" s="2" t="n"/>
    </row>
    <row r="33" ht="15" customHeight="1">
      <c r="A33" s="1" t="inlineStr">
        <is>
          <t>OPEN ITEMS</t>
        </is>
      </c>
      <c r="B33" s="2" t="n"/>
    </row>
    <row r="34" ht="25.5" customHeight="1">
      <c r="A34" s="3" t="inlineStr">
        <is>
          <t>CYA reduction</t>
        </is>
      </c>
      <c r="B34" s="2" t="inlineStr">
        <is>
          <t>Passive only (no drawdown - protect 3 GPM well). Recheck CYA every few weeks.</t>
        </is>
      </c>
    </row>
    <row r="35" ht="25.5" customHeight="1">
      <c r="A35" s="3" t="inlineStr">
        <is>
          <t>Metal stain (shallow end)</t>
        </is>
      </c>
      <c r="B35" s="2" t="inlineStr">
        <is>
          <t>Suspected; confirm with vitamin C / ascorbic acid spot test. Treatment deferred (ideally fall closing).</t>
        </is>
      </c>
    </row>
    <row r="36" ht="15" customHeight="1">
      <c r="A36" s="3" t="inlineStr">
        <is>
          <t>Reagent refill</t>
        </is>
      </c>
      <c r="B36" s="2" t="inlineStr">
        <is>
          <t>Ordered; full FAS-DPD refill. Use fresh once arrived.</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2026-06-22T13:28:57Z</dcterms:created>
  <dcterms:modified xmlns:dcterms="http://purl.org/dc/terms/" xmlns:xsi="http://www.w3.org/2001/XMLSchema-instance" xsi:type="dcterms:W3CDTF">2026-10-12T14:03:09Z</dcterms:modified>
  <cp:lastModifiedBy>John Evans</cp:lastModifiedBy>
  <cp:revision>0</cp:revision>
</cp:coreProperties>
</file>