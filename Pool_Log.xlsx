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51840" windowHeight="21120" tabRatio="500" firstSheet="0" activeTab="0" autoFilterDateGrouping="1"/>
  </bookViews>
  <sheets>
    <sheet xmlns:r="http://schemas.openxmlformats.org/officeDocument/2006/relationships" name="Log" sheetId="1" state="visible" r:id="rId1"/>
    <sheet xmlns:r="http://schemas.openxmlformats.org/officeDocument/2006/relationships" name="Reference" sheetId="2" state="visible" r:id="rId2"/>
  </sheets>
  <definedNames/>
  <calcPr calcId="0" fullCalcOnLoad="1" iterateDelta="0.0001"/>
</workbook>
</file>

<file path=xl/styles.xml><?xml version="1.0" encoding="utf-8"?>
<styleSheet xmlns="http://schemas.openxmlformats.org/spreadsheetml/2006/main">
  <numFmts count="2">
    <numFmt numFmtId="164" formatCode="0.0"/>
    <numFmt numFmtId="165" formatCode="+0.0;-0.0;0.0"/>
  </numFmts>
  <fonts count="9">
    <font>
      <name val="Calibri"/>
      <charset val="1"/>
      <family val="2"/>
      <color theme="1"/>
      <sz val="11"/>
    </font>
    <font>
      <name val="Arial"/>
      <charset val="1"/>
      <b val="1"/>
      <color rgb="FFFFFFFF"/>
      <sz val="11"/>
    </font>
    <font>
      <name val="Arial"/>
      <charset val="1"/>
      <family val="2"/>
      <sz val="11"/>
    </font>
    <font>
      <name val="Arial"/>
      <charset val="1"/>
      <b val="1"/>
      <color rgb="FFFFFFFF"/>
      <sz val="10"/>
    </font>
    <font>
      <name val="Arial"/>
      <charset val="1"/>
      <sz val="10"/>
    </font>
    <font>
      <name val="Arial"/>
      <charset val="1"/>
      <b val="1"/>
      <sz val="10"/>
    </font>
    <font>
      <name val="Calibri"/>
      <b val="1"/>
      <color rgb="FFFFFFFF"/>
      <sz val="11"/>
    </font>
    <font>
      <name val="Calibri"/>
      <sz val="11"/>
    </font>
    <font>
      <name val="Calibri"/>
      <b val="1"/>
      <sz val="11"/>
    </font>
  </fonts>
  <fills count="9">
    <fill>
      <patternFill/>
    </fill>
    <fill>
      <patternFill patternType="gray125"/>
    </fill>
    <fill>
      <patternFill patternType="solid">
        <fgColor rgb="FF1F6FB2"/>
        <bgColor rgb="FF008080"/>
      </patternFill>
    </fill>
    <fill>
      <patternFill patternType="solid">
        <fgColor rgb="FFC4C4C4"/>
      </patternFill>
    </fill>
    <fill>
      <patternFill patternType="solid">
        <fgColor rgb="00C4C4C4"/>
      </patternFill>
    </fill>
    <fill>
      <patternFill patternType="solid">
        <fgColor rgb="00DDEBF7"/>
      </patternFill>
    </fill>
    <fill>
      <patternFill patternType="solid">
        <fgColor rgb="FF1F6FB2"/>
      </patternFill>
    </fill>
    <fill>
      <patternFill patternType="solid">
        <fgColor rgb="FFBDD7EE"/>
      </patternFill>
    </fill>
    <fill>
      <patternFill patternType="solid">
        <fgColor rgb="FF9DC3E6"/>
      </patternFill>
    </fill>
  </fills>
  <borders count="30">
    <border>
      <left/>
      <right/>
      <top/>
      <bottom/>
      <diagonal/>
    </border>
    <border>
      <left style="thin">
        <color auto="1"/>
      </left>
      <right style="thin">
        <color auto="1"/>
      </right>
      <top style="thin">
        <color auto="1"/>
      </top>
      <bottom style="thin">
        <color auto="1"/>
      </bottom>
      <diagonal/>
    </border>
    <border>
      <left style="medium">
        <color rgb="FF333333"/>
      </left>
      <right style="thin">
        <color rgb="FF808080"/>
      </right>
      <top style="medium">
        <color rgb="FF333333"/>
      </top>
      <bottom style="medium">
        <color rgb="FF333333"/>
      </bottom>
      <diagonal/>
    </border>
    <border>
      <left style="thin">
        <color rgb="FF808080"/>
      </left>
      <right style="thin">
        <color rgb="FF808080"/>
      </right>
      <top style="medium">
        <color rgb="FF333333"/>
      </top>
      <bottom style="medium">
        <color rgb="FF333333"/>
      </bottom>
      <diagonal/>
    </border>
    <border>
      <left style="thin">
        <color rgb="FF808080"/>
      </left>
      <right style="medium">
        <color rgb="FF333333"/>
      </right>
      <top style="medium">
        <color rgb="FF333333"/>
      </top>
      <bottom style="medium">
        <color rgb="FF333333"/>
      </bottom>
      <diagonal/>
    </border>
    <border>
      <left style="medium">
        <color rgb="FF333333"/>
      </left>
      <right style="thin">
        <color rgb="FF808080"/>
      </right>
      <top style="medium">
        <color rgb="FF333333"/>
      </top>
      <bottom style="thin">
        <color rgb="FF808080"/>
      </bottom>
      <diagonal/>
    </border>
    <border>
      <left style="thin">
        <color rgb="FF808080"/>
      </left>
      <right style="thin">
        <color rgb="FF808080"/>
      </right>
      <top style="medium">
        <color rgb="FF333333"/>
      </top>
      <bottom style="thin">
        <color rgb="FF808080"/>
      </bottom>
      <diagonal/>
    </border>
    <border>
      <left style="thin">
        <color rgb="FF808080"/>
      </left>
      <right style="medium">
        <color rgb="FF333333"/>
      </right>
      <top style="medium">
        <color rgb="FF333333"/>
      </top>
      <bottom style="thin">
        <color rgb="FF808080"/>
      </bottom>
      <diagonal/>
    </border>
    <border>
      <left style="medium">
        <color rgb="FF333333"/>
      </left>
      <right style="thin">
        <color rgb="FF808080"/>
      </right>
      <top style="thin">
        <color rgb="FF808080"/>
      </top>
      <bottom style="medium">
        <color rgb="FF333333"/>
      </bottom>
      <diagonal/>
    </border>
    <border>
      <left style="thin">
        <color rgb="FF808080"/>
      </left>
      <right style="thin">
        <color rgb="FF808080"/>
      </right>
      <top style="thin">
        <color rgb="FF808080"/>
      </top>
      <bottom style="medium">
        <color rgb="FF333333"/>
      </bottom>
      <diagonal/>
    </border>
    <border>
      <left style="thin">
        <color rgb="FF808080"/>
      </left>
      <right style="medium">
        <color rgb="FF333333"/>
      </right>
      <top style="thin">
        <color rgb="FF808080"/>
      </top>
      <bottom style="medium">
        <color rgb="FF333333"/>
      </bottom>
      <diagonal/>
    </border>
    <border>
      <left style="medium">
        <color rgb="FF333333"/>
      </left>
      <right style="thin">
        <color rgb="FF808080"/>
      </right>
      <top style="thin">
        <color rgb="FF808080"/>
      </top>
      <bottom style="thin">
        <color rgb="FF808080"/>
      </bottom>
      <diagonal/>
    </border>
    <border>
      <left style="thin">
        <color rgb="FF808080"/>
      </left>
      <right style="thin">
        <color rgb="FF808080"/>
      </right>
      <top style="thin">
        <color rgb="FF808080"/>
      </top>
      <bottom style="thin">
        <color rgb="FF808080"/>
      </bottom>
      <diagonal/>
    </border>
    <border>
      <left style="thin">
        <color rgb="FF808080"/>
      </left>
      <right style="medium">
        <color rgb="FF333333"/>
      </right>
      <top style="thin">
        <color rgb="FF808080"/>
      </top>
      <bottom style="thin">
        <color rgb="FF808080"/>
      </bottom>
      <diagonal/>
    </border>
    <border>
      <left style="medium">
        <color rgb="00333333"/>
      </left>
      <right style="thin">
        <color rgb="00808080"/>
      </right>
      <top style="medium">
        <color rgb="00333333"/>
      </top>
      <bottom style="medium">
        <color rgb="00333333"/>
      </bottom>
    </border>
    <border>
      <left style="thin">
        <color rgb="00808080"/>
      </left>
      <right style="thin">
        <color rgb="00808080"/>
      </right>
      <top style="medium">
        <color rgb="00333333"/>
      </top>
      <bottom style="medium">
        <color rgb="00333333"/>
      </bottom>
    </border>
    <border>
      <left style="thin">
        <color rgb="00808080"/>
      </left>
      <right style="medium">
        <color rgb="00333333"/>
      </right>
      <top style="medium">
        <color rgb="00333333"/>
      </top>
      <bottom style="medium">
        <color rgb="00333333"/>
      </bottom>
    </border>
    <border>
      <left style="medium">
        <color rgb="00333333"/>
      </left>
      <right style="thin">
        <color rgb="00808080"/>
      </right>
      <top style="medium">
        <color rgb="00333333"/>
      </top>
      <bottom style="thin">
        <color rgb="00808080"/>
      </bottom>
    </border>
    <border>
      <left style="thin">
        <color rgb="00808080"/>
      </left>
      <right style="thin">
        <color rgb="00808080"/>
      </right>
      <top style="medium">
        <color rgb="00333333"/>
      </top>
      <bottom style="thin">
        <color rgb="00808080"/>
      </bottom>
    </border>
    <border>
      <left style="thin">
        <color rgb="00808080"/>
      </left>
      <right style="medium">
        <color rgb="00333333"/>
      </right>
      <top style="medium">
        <color rgb="00333333"/>
      </top>
      <bottom style="thin">
        <color rgb="00808080"/>
      </bottom>
    </border>
    <border>
      <left style="medium">
        <color rgb="00333333"/>
      </left>
      <right style="thin">
        <color rgb="00808080"/>
      </right>
      <top style="thin">
        <color rgb="00808080"/>
      </top>
      <bottom style="medium">
        <color rgb="00333333"/>
      </bottom>
    </border>
    <border>
      <left style="thin">
        <color rgb="00808080"/>
      </left>
      <right style="thin">
        <color rgb="00808080"/>
      </right>
      <top style="thin">
        <color rgb="00808080"/>
      </top>
      <bottom style="medium">
        <color rgb="00333333"/>
      </bottom>
    </border>
    <border>
      <left style="thin">
        <color rgb="00808080"/>
      </left>
      <right style="medium">
        <color rgb="00333333"/>
      </right>
      <top style="thin">
        <color rgb="00808080"/>
      </top>
      <bottom style="medium">
        <color rgb="00333333"/>
      </bottom>
    </border>
    <border>
      <left style="medium">
        <color rgb="00333333"/>
      </left>
      <right style="thin">
        <color rgb="00808080"/>
      </right>
      <top style="thin">
        <color rgb="00808080"/>
      </top>
      <bottom style="thin">
        <color rgb="00808080"/>
      </bottom>
    </border>
    <border>
      <left style="thin">
        <color rgb="00808080"/>
      </left>
      <right style="thin">
        <color rgb="00808080"/>
      </right>
      <top style="thin">
        <color rgb="00808080"/>
      </top>
      <bottom style="thin">
        <color rgb="00808080"/>
      </bottom>
    </border>
    <border>
      <left style="thin">
        <color rgb="00808080"/>
      </left>
      <right style="medium">
        <color rgb="00333333"/>
      </right>
      <top style="thin">
        <color rgb="00808080"/>
      </top>
      <bottom style="thin">
        <color rgb="00808080"/>
      </bottom>
    </border>
    <border>
      <left/>
      <right/>
      <top style="medium">
        <color rgb="00333333"/>
      </top>
      <bottom/>
      <diagonal/>
    </border>
    <border>
      <left/>
      <right style="thin">
        <color rgb="00808080"/>
      </right>
      <top style="medium">
        <color rgb="00333333"/>
      </top>
      <bottom/>
      <diagonal/>
    </border>
    <border>
      <left/>
      <right/>
      <top style="medium">
        <color rgb="00333333"/>
      </top>
      <bottom style="medium">
        <color rgb="00333333"/>
      </bottom>
      <diagonal/>
    </border>
    <border>
      <left/>
      <right style="thin">
        <color rgb="00808080"/>
      </right>
      <top style="medium">
        <color rgb="00333333"/>
      </top>
      <bottom style="medium">
        <color rgb="00333333"/>
      </bottom>
      <diagonal/>
    </border>
  </borders>
  <cellStyleXfs count="1">
    <xf numFmtId="0" fontId="0" fillId="0" borderId="0"/>
  </cellStyleXfs>
  <cellXfs count="4011">
    <xf numFmtId="0" fontId="0" fillId="0" borderId="0" pivotButton="0" quotePrefix="0" xfId="0"/>
    <xf numFmtId="0" fontId="3" fillId="2" borderId="1" applyAlignment="1" pivotButton="0" quotePrefix="0" xfId="0">
      <alignment vertical="center"/>
    </xf>
    <xf numFmtId="0" fontId="4" fillId="0" borderId="1" applyAlignment="1" pivotButton="0" quotePrefix="0" xfId="0">
      <alignment vertical="center" wrapText="1"/>
    </xf>
    <xf numFmtId="0" fontId="5" fillId="0" borderId="1" applyAlignment="1" pivotButton="0" quotePrefix="0" xfId="0">
      <alignment vertical="center"/>
    </xf>
    <xf numFmtId="0" fontId="1" fillId="2" borderId="2" applyAlignment="1" pivotButton="0" quotePrefix="0" xfId="0">
      <alignment horizontal="center" vertical="center" wrapText="1"/>
    </xf>
    <xf numFmtId="0" fontId="1" fillId="2" borderId="3" applyAlignment="1" pivotButton="0" quotePrefix="0" xfId="0">
      <alignment horizontal="center" vertical="center" wrapText="1"/>
    </xf>
    <xf numFmtId="0" fontId="1" fillId="2" borderId="4" applyAlignment="1" pivotButton="0" quotePrefix="0" xfId="0">
      <alignment horizontal="center" vertical="center" wrapText="1"/>
    </xf>
    <xf numFmtId="0" fontId="2" fillId="0" borderId="5" applyAlignment="1" pivotButton="0" quotePrefix="0" xfId="0">
      <alignment horizontal="center" vertical="center"/>
    </xf>
    <xf numFmtId="0" fontId="2" fillId="0" borderId="6" applyAlignment="1" pivotButton="0" quotePrefix="0" xfId="0">
      <alignment horizontal="center" vertical="center"/>
    </xf>
    <xf numFmtId="164" fontId="2" fillId="0" borderId="6" applyAlignment="1" pivotButton="0" quotePrefix="0" xfId="0">
      <alignment horizontal="center" vertical="center"/>
    </xf>
    <xf numFmtId="1" fontId="2" fillId="0" borderId="6" applyAlignment="1" pivotButton="0" quotePrefix="0" xfId="0">
      <alignment horizontal="center" vertical="center"/>
    </xf>
    <xf numFmtId="164" fontId="0" fillId="0" borderId="6" applyAlignment="1" pivotButton="0" quotePrefix="0" xfId="0">
      <alignment horizontal="center" vertical="center"/>
    </xf>
    <xf numFmtId="2" fontId="0" fillId="0" borderId="6" applyAlignment="1" pivotButton="0" quotePrefix="0" xfId="0">
      <alignment horizontal="center" vertical="center"/>
    </xf>
    <xf numFmtId="1" fontId="0" fillId="0" borderId="6" applyAlignment="1" pivotButton="0" quotePrefix="0" xfId="0">
      <alignment horizontal="center" vertical="center"/>
    </xf>
    <xf numFmtId="0" fontId="0" fillId="0" borderId="6" applyAlignment="1" pivotButton="0" quotePrefix="0" xfId="0">
      <alignment horizontal="left" vertical="center" wrapText="1"/>
    </xf>
    <xf numFmtId="0" fontId="0" fillId="0" borderId="6" applyAlignment="1" pivotButton="0" quotePrefix="0" xfId="0">
      <alignment horizontal="center" vertical="center"/>
    </xf>
    <xf numFmtId="0" fontId="0" fillId="0" borderId="7" applyAlignment="1" pivotButton="0" quotePrefix="0" xfId="0">
      <alignment horizontal="left" vertical="center" wrapText="1"/>
    </xf>
    <xf numFmtId="0" fontId="2" fillId="0" borderId="8" applyAlignment="1" pivotButton="0" quotePrefix="0" xfId="0">
      <alignment horizontal="center" vertical="center"/>
    </xf>
    <xf numFmtId="0" fontId="2" fillId="0" borderId="9" applyAlignment="1" pivotButton="0" quotePrefix="0" xfId="0">
      <alignment horizontal="center" vertical="center"/>
    </xf>
    <xf numFmtId="164" fontId="2" fillId="0" borderId="9" applyAlignment="1" pivotButton="0" quotePrefix="0" xfId="0">
      <alignment horizontal="center" vertical="center"/>
    </xf>
    <xf numFmtId="1" fontId="2" fillId="0" borderId="9" applyAlignment="1" pivotButton="0" quotePrefix="0" xfId="0">
      <alignment horizontal="center" vertical="center"/>
    </xf>
    <xf numFmtId="164" fontId="0" fillId="0" borderId="9" applyAlignment="1" pivotButton="0" quotePrefix="0" xfId="0">
      <alignment horizontal="center" vertical="center"/>
    </xf>
    <xf numFmtId="2" fontId="0" fillId="0" borderId="9" applyAlignment="1" pivotButton="0" quotePrefix="0" xfId="0">
      <alignment horizontal="center" vertical="center"/>
    </xf>
    <xf numFmtId="1" fontId="0" fillId="0" borderId="9" applyAlignment="1" pivotButton="0" quotePrefix="0" xfId="0">
      <alignment horizontal="center" vertical="center"/>
    </xf>
    <xf numFmtId="0" fontId="0" fillId="0" borderId="9" applyAlignment="1" pivotButton="0" quotePrefix="0" xfId="0">
      <alignment horizontal="left" vertical="center" wrapText="1"/>
    </xf>
    <xf numFmtId="0" fontId="0" fillId="0" borderId="9" applyAlignment="1" pivotButton="0" quotePrefix="0" xfId="0">
      <alignment horizontal="center" vertical="center"/>
    </xf>
    <xf numFmtId="0" fontId="0" fillId="0" borderId="10" applyAlignment="1" pivotButton="0" quotePrefix="0" xfId="0">
      <alignment horizontal="left" vertical="center" wrapText="1"/>
    </xf>
    <xf numFmtId="0" fontId="2" fillId="3" borderId="5" applyAlignment="1" pivotButton="0" quotePrefix="0" xfId="0">
      <alignment horizontal="center" vertical="center"/>
    </xf>
    <xf numFmtId="0" fontId="2" fillId="3" borderId="6" applyAlignment="1" pivotButton="0" quotePrefix="0" xfId="0">
      <alignment horizontal="center" vertical="center"/>
    </xf>
    <xf numFmtId="164" fontId="2" fillId="3" borderId="6" applyAlignment="1" pivotButton="0" quotePrefix="0" xfId="0">
      <alignment horizontal="center" vertical="center"/>
    </xf>
    <xf numFmtId="1" fontId="2" fillId="3" borderId="6" applyAlignment="1" pivotButton="0" quotePrefix="0" xfId="0">
      <alignment horizontal="center" vertical="center"/>
    </xf>
    <xf numFmtId="2" fontId="0" fillId="3" borderId="6" applyAlignment="1" pivotButton="0" quotePrefix="0" xfId="0">
      <alignment horizontal="center" vertical="center"/>
    </xf>
    <xf numFmtId="1" fontId="0" fillId="3" borderId="6" applyAlignment="1" pivotButton="0" quotePrefix="0" xfId="0">
      <alignment horizontal="center" vertical="center"/>
    </xf>
    <xf numFmtId="0" fontId="0" fillId="3" borderId="6" applyAlignment="1" pivotButton="0" quotePrefix="0" xfId="0">
      <alignment horizontal="left" vertical="center" wrapText="1"/>
    </xf>
    <xf numFmtId="0" fontId="0" fillId="3" borderId="6" applyAlignment="1" pivotButton="0" quotePrefix="0" xfId="0">
      <alignment horizontal="center" vertical="center"/>
    </xf>
    <xf numFmtId="0" fontId="0" fillId="3" borderId="7" applyAlignment="1" pivotButton="0" quotePrefix="0" xfId="0">
      <alignment horizontal="left" vertical="center" wrapText="1"/>
    </xf>
    <xf numFmtId="0" fontId="2" fillId="3" borderId="11" applyAlignment="1" pivotButton="0" quotePrefix="0" xfId="0">
      <alignment horizontal="center" vertical="center"/>
    </xf>
    <xf numFmtId="0" fontId="2" fillId="3" borderId="12" applyAlignment="1" pivotButton="0" quotePrefix="0" xfId="0">
      <alignment horizontal="center" vertical="center"/>
    </xf>
    <xf numFmtId="164" fontId="2" fillId="3" borderId="12" applyAlignment="1" pivotButton="0" quotePrefix="0" xfId="0">
      <alignment horizontal="center" vertical="center"/>
    </xf>
    <xf numFmtId="1" fontId="2" fillId="3" borderId="12" applyAlignment="1" pivotButton="0" quotePrefix="0" xfId="0">
      <alignment horizontal="center" vertical="center"/>
    </xf>
    <xf numFmtId="164" fontId="0" fillId="3" borderId="12" applyAlignment="1" pivotButton="0" quotePrefix="0" xfId="0">
      <alignment horizontal="center" vertical="center"/>
    </xf>
    <xf numFmtId="2" fontId="0" fillId="3" borderId="12" applyAlignment="1" pivotButton="0" quotePrefix="0" xfId="0">
      <alignment horizontal="center" vertical="center"/>
    </xf>
    <xf numFmtId="1" fontId="0" fillId="3" borderId="12" applyAlignment="1" pivotButton="0" quotePrefix="0" xfId="0">
      <alignment horizontal="center" vertical="center"/>
    </xf>
    <xf numFmtId="0" fontId="0" fillId="3" borderId="12" applyAlignment="1" pivotButton="0" quotePrefix="0" xfId="0">
      <alignment horizontal="left" vertical="center" wrapText="1"/>
    </xf>
    <xf numFmtId="0" fontId="0" fillId="3" borderId="12" applyAlignment="1" pivotButton="0" quotePrefix="0" xfId="0">
      <alignment horizontal="center" vertical="center"/>
    </xf>
    <xf numFmtId="0" fontId="0" fillId="3" borderId="13" applyAlignment="1" pivotButton="0" quotePrefix="0" xfId="0">
      <alignment horizontal="left" vertical="center" wrapText="1"/>
    </xf>
    <xf numFmtId="0" fontId="2" fillId="3" borderId="8" applyAlignment="1" pivotButton="0" quotePrefix="0" xfId="0">
      <alignment horizontal="center" vertical="center"/>
    </xf>
    <xf numFmtId="0" fontId="2" fillId="3" borderId="9" applyAlignment="1" pivotButton="0" quotePrefix="0" xfId="0">
      <alignment horizontal="center" vertical="center"/>
    </xf>
    <xf numFmtId="164" fontId="2" fillId="3" borderId="9" applyAlignment="1" pivotButton="0" quotePrefix="0" xfId="0">
      <alignment horizontal="center" vertical="center"/>
    </xf>
    <xf numFmtId="1" fontId="2" fillId="3" borderId="9" applyAlignment="1" pivotButton="0" quotePrefix="0" xfId="0">
      <alignment horizontal="center" vertical="center"/>
    </xf>
    <xf numFmtId="164" fontId="0" fillId="3" borderId="9" applyAlignment="1" pivotButton="0" quotePrefix="0" xfId="0">
      <alignment horizontal="center" vertical="center"/>
    </xf>
    <xf numFmtId="2" fontId="0" fillId="3" borderId="9" applyAlignment="1" pivotButton="0" quotePrefix="0" xfId="0">
      <alignment horizontal="center" vertical="center"/>
    </xf>
    <xf numFmtId="1" fontId="0" fillId="3" borderId="9" applyAlignment="1" pivotButton="0" quotePrefix="0" xfId="0">
      <alignment horizontal="center" vertical="center"/>
    </xf>
    <xf numFmtId="0" fontId="0" fillId="3" borderId="9" applyAlignment="1" pivotButton="0" quotePrefix="0" xfId="0">
      <alignment horizontal="left" vertical="center" wrapText="1"/>
    </xf>
    <xf numFmtId="0" fontId="0" fillId="3" borderId="9" applyAlignment="1" pivotButton="0" quotePrefix="0" xfId="0">
      <alignment horizontal="center" vertical="center"/>
    </xf>
    <xf numFmtId="0" fontId="0" fillId="3" borderId="10" applyAlignment="1" pivotButton="0" quotePrefix="0" xfId="0">
      <alignment horizontal="left" vertical="center" wrapText="1"/>
    </xf>
    <xf numFmtId="0" fontId="2" fillId="0" borderId="11" applyAlignment="1" pivotButton="0" quotePrefix="0" xfId="0">
      <alignment horizontal="center" vertical="center"/>
    </xf>
    <xf numFmtId="0" fontId="2" fillId="0" borderId="12" applyAlignment="1" pivotButton="0" quotePrefix="0" xfId="0">
      <alignment horizontal="center" vertical="center"/>
    </xf>
    <xf numFmtId="164" fontId="2" fillId="0" borderId="12" applyAlignment="1" pivotButton="0" quotePrefix="0" xfId="0">
      <alignment horizontal="center" vertical="center"/>
    </xf>
    <xf numFmtId="1" fontId="2" fillId="0" borderId="12" applyAlignment="1" pivotButton="0" quotePrefix="0" xfId="0">
      <alignment horizontal="center" vertical="center"/>
    </xf>
    <xf numFmtId="2" fontId="0" fillId="0" borderId="12" applyAlignment="1" pivotButton="0" quotePrefix="0" xfId="0">
      <alignment horizontal="center" vertical="center"/>
    </xf>
    <xf numFmtId="1" fontId="0" fillId="0" borderId="12" applyAlignment="1" pivotButton="0" quotePrefix="0" xfId="0">
      <alignment horizontal="center" vertical="center"/>
    </xf>
    <xf numFmtId="0" fontId="0" fillId="0" borderId="12" applyAlignment="1" pivotButton="0" quotePrefix="0" xfId="0">
      <alignment horizontal="left" vertical="center" wrapText="1"/>
    </xf>
    <xf numFmtId="0" fontId="0" fillId="0" borderId="12" applyAlignment="1" pivotButton="0" quotePrefix="0" xfId="0">
      <alignment horizontal="center" vertical="center"/>
    </xf>
    <xf numFmtId="0" fontId="0" fillId="0" borderId="13" applyAlignment="1" pivotButton="0" quotePrefix="0" xfId="0">
      <alignment horizontal="left" vertical="center" wrapText="1"/>
    </xf>
    <xf numFmtId="164" fontId="0" fillId="0" borderId="12" applyAlignment="1" pivotButton="0" quotePrefix="0" xfId="0">
      <alignment horizontal="center" vertical="center"/>
    </xf>
    <xf numFmtId="164" fontId="0" fillId="3" borderId="6" applyAlignment="1" pivotButton="0" quotePrefix="0" xfId="0">
      <alignment horizontal="center" vertical="center"/>
    </xf>
    <xf numFmtId="0" fontId="1" fillId="2" borderId="14" applyAlignment="1" pivotButton="0" quotePrefix="0" xfId="0">
      <alignment horizontal="center" vertical="center" wrapText="1"/>
    </xf>
    <xf numFmtId="0" fontId="1" fillId="2" borderId="15" applyAlignment="1" pivotButton="0" quotePrefix="0" xfId="0">
      <alignment horizontal="center" vertical="center" wrapText="1"/>
    </xf>
    <xf numFmtId="0" fontId="1" fillId="2" borderId="16" applyAlignment="1" pivotButton="0" quotePrefix="0" xfId="0">
      <alignment horizontal="center" vertical="center" wrapText="1"/>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left" vertical="center" wrapText="1"/>
    </xf>
    <xf numFmtId="0" fontId="0" fillId="0" borderId="18" applyAlignment="1" pivotButton="0" quotePrefix="0" xfId="0">
      <alignment horizontal="center" vertical="center"/>
    </xf>
    <xf numFmtId="0" fontId="0" fillId="0" borderId="19" applyAlignment="1" pivotButton="0" quotePrefix="0" xfId="0">
      <alignment horizontal="left" vertical="center" wrapText="1"/>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left" vertical="center" wrapText="1"/>
    </xf>
    <xf numFmtId="0" fontId="0" fillId="0" borderId="21" applyAlignment="1" pivotButton="0" quotePrefix="0" xfId="0">
      <alignment horizontal="center" vertical="center"/>
    </xf>
    <xf numFmtId="0" fontId="0" fillId="0" borderId="22" applyAlignment="1" pivotButton="0" quotePrefix="0" xfId="0">
      <alignment horizontal="left" vertical="center" wrapText="1"/>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left" vertical="center" wrapText="1"/>
    </xf>
    <xf numFmtId="0" fontId="0" fillId="4" borderId="18" applyAlignment="1" pivotButton="0" quotePrefix="0" xfId="0">
      <alignment horizontal="center" vertical="center"/>
    </xf>
    <xf numFmtId="0" fontId="0" fillId="4" borderId="19" applyAlignment="1" pivotButton="0" quotePrefix="0" xfId="0">
      <alignment horizontal="left" vertical="center" wrapText="1"/>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left" vertical="center" wrapText="1"/>
    </xf>
    <xf numFmtId="0" fontId="0" fillId="4" borderId="24" applyAlignment="1" pivotButton="0" quotePrefix="0" xfId="0">
      <alignment horizontal="center" vertical="center"/>
    </xf>
    <xf numFmtId="0" fontId="0" fillId="4" borderId="25" applyAlignment="1" pivotButton="0" quotePrefix="0" xfId="0">
      <alignment horizontal="left" vertical="center" wrapText="1"/>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left" vertical="center" wrapText="1"/>
    </xf>
    <xf numFmtId="0" fontId="0" fillId="4" borderId="21" applyAlignment="1" pivotButton="0" quotePrefix="0" xfId="0">
      <alignment horizontal="center" vertical="center"/>
    </xf>
    <xf numFmtId="0" fontId="0" fillId="4" borderId="22" applyAlignment="1" pivotButton="0" quotePrefix="0" xfId="0">
      <alignment horizontal="left" vertical="center" wrapText="1"/>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left" vertical="center" wrapText="1"/>
    </xf>
    <xf numFmtId="0" fontId="0" fillId="0" borderId="24" applyAlignment="1" pivotButton="0" quotePrefix="0" xfId="0">
      <alignment horizontal="center" vertical="center"/>
    </xf>
    <xf numFmtId="0" fontId="0" fillId="0" borderId="25" applyAlignment="1" pivotButton="0" quotePrefix="0" xfId="0">
      <alignment horizontal="left" vertical="center" wrapText="1"/>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6" fillId="2" borderId="14" applyAlignment="1" pivotButton="0" quotePrefix="0" xfId="0">
      <alignment horizontal="center" vertical="center" wrapText="1"/>
    </xf>
    <xf numFmtId="0" fontId="6" fillId="2" borderId="15" applyAlignment="1" pivotButton="0" quotePrefix="0" xfId="0">
      <alignment horizontal="center" vertical="center" wrapText="1"/>
    </xf>
    <xf numFmtId="0" fontId="6" fillId="2"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8" applyAlignment="1" pivotButton="0" quotePrefix="0" xfId="0">
      <alignment horizontal="left" vertical="center" wrapText="1"/>
    </xf>
    <xf numFmtId="0" fontId="7" fillId="0" borderId="19" applyAlignment="1" pivotButton="0" quotePrefix="0" xfId="0">
      <alignment horizontal="left" vertical="center" wrapText="1"/>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1" applyAlignment="1" pivotButton="0" quotePrefix="0" xfId="0">
      <alignment horizontal="left" vertical="center" wrapText="1"/>
    </xf>
    <xf numFmtId="0" fontId="7" fillId="0" borderId="22" applyAlignment="1" pivotButton="0" quotePrefix="0" xfId="0">
      <alignment horizontal="left" vertical="center" wrapText="1"/>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18" applyAlignment="1" pivotButton="0" quotePrefix="0" xfId="0">
      <alignment horizontal="left" vertical="center" wrapText="1"/>
    </xf>
    <xf numFmtId="0" fontId="7" fillId="4" borderId="19" applyAlignment="1" pivotButton="0" quotePrefix="0" xfId="0">
      <alignment horizontal="left" vertical="center" wrapText="1"/>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4" applyAlignment="1" pivotButton="0" quotePrefix="0" xfId="0">
      <alignment horizontal="left" vertical="center" wrapText="1"/>
    </xf>
    <xf numFmtId="0" fontId="7" fillId="4" borderId="25" applyAlignment="1" pivotButton="0" quotePrefix="0" xfId="0">
      <alignment horizontal="left" vertical="center" wrapText="1"/>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4" borderId="21" applyAlignment="1" pivotButton="0" quotePrefix="0" xfId="0">
      <alignment horizontal="left" vertical="center" wrapText="1"/>
    </xf>
    <xf numFmtId="0" fontId="7" fillId="4"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4" applyAlignment="1" pivotButton="0" quotePrefix="0" xfId="0">
      <alignment horizontal="left" vertical="center" wrapText="1"/>
    </xf>
    <xf numFmtId="0" fontId="7" fillId="0" borderId="25" applyAlignment="1" pivotButton="0" quotePrefix="0" xfId="0">
      <alignment horizontal="left" vertical="center" wrapText="1"/>
    </xf>
    <xf numFmtId="0" fontId="8" fillId="5" borderId="14" applyAlignment="1" pivotButton="0" quotePrefix="0" xfId="0">
      <alignment horizontal="left" vertical="center"/>
    </xf>
    <xf numFmtId="0" fontId="8" fillId="5" borderId="15" applyAlignment="1" pivotButton="0" quotePrefix="0" xfId="0">
      <alignment horizontal="center" vertical="center" wrapText="1"/>
    </xf>
    <xf numFmtId="164" fontId="8" fillId="5" borderId="15" applyAlignment="1" pivotButton="0" quotePrefix="0" xfId="0">
      <alignment horizontal="center" vertical="center" wrapText="1"/>
    </xf>
    <xf numFmtId="1" fontId="8" fillId="5" borderId="15" applyAlignment="1" pivotButton="0" quotePrefix="0" xfId="0">
      <alignment horizontal="center" vertical="center" wrapText="1"/>
    </xf>
    <xf numFmtId="2" fontId="8" fillId="5" borderId="15" applyAlignment="1" pivotButton="0" quotePrefix="0" xfId="0">
      <alignment horizontal="center" vertical="center" wrapText="1"/>
    </xf>
    <xf numFmtId="0" fontId="8" fillId="5"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0" fillId="0" borderId="28" pivotButton="0" quotePrefix="0" xfId="0"/>
    <xf numFmtId="0" fontId="0" fillId="0" borderId="29" pivotButton="0" quotePrefix="0" xfId="0"/>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6" fillId="6" borderId="14" applyAlignment="1" pivotButton="0" quotePrefix="0" xfId="0">
      <alignment horizontal="center" vertical="center" wrapText="1"/>
    </xf>
    <xf numFmtId="0" fontId="6" fillId="6" borderId="15" applyAlignment="1" pivotButton="0" quotePrefix="0" xfId="0">
      <alignment horizontal="center" vertical="center" wrapText="1"/>
    </xf>
    <xf numFmtId="0" fontId="6" fillId="6" borderId="16" applyAlignment="1" pivotButton="0" quotePrefix="0" xfId="0">
      <alignment horizontal="center" vertical="center" wrapText="1"/>
    </xf>
    <xf numFmtId="0" fontId="8" fillId="7" borderId="14" applyAlignment="1" pivotButton="0" quotePrefix="0" xfId="0">
      <alignment horizontal="left" vertical="center"/>
    </xf>
    <xf numFmtId="0" fontId="8" fillId="7" borderId="15" applyAlignment="1" pivotButton="0" quotePrefix="0" xfId="0">
      <alignment horizontal="center" vertical="center" wrapText="1"/>
    </xf>
    <xf numFmtId="164" fontId="8" fillId="7" borderId="15" applyAlignment="1" pivotButton="0" quotePrefix="0" xfId="0">
      <alignment horizontal="center" vertical="center" wrapText="1"/>
    </xf>
    <xf numFmtId="1" fontId="8" fillId="7" borderId="15" applyAlignment="1" pivotButton="0" quotePrefix="0" xfId="0">
      <alignment horizontal="center" vertical="center" wrapText="1"/>
    </xf>
    <xf numFmtId="2" fontId="8" fillId="7" borderId="15" applyAlignment="1" pivotButton="0" quotePrefix="0" xfId="0">
      <alignment horizontal="center" vertical="center" wrapText="1"/>
    </xf>
    <xf numFmtId="0" fontId="8" fillId="7"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8" applyAlignment="1" pivotButton="0" quotePrefix="0" xfId="0">
      <alignment horizontal="left" vertical="center" wrapText="1"/>
    </xf>
    <xf numFmtId="0" fontId="7" fillId="3" borderId="19" applyAlignment="1" pivotButton="0" quotePrefix="0" xfId="0">
      <alignment horizontal="left" vertical="center" wrapText="1"/>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4" applyAlignment="1" pivotButton="0" quotePrefix="0" xfId="0">
      <alignment horizontal="left" vertical="center" wrapText="1"/>
    </xf>
    <xf numFmtId="0" fontId="7" fillId="3" borderId="25" applyAlignment="1" pivotButton="0" quotePrefix="0" xfId="0">
      <alignment horizontal="left" vertical="center" wrapText="1"/>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1" applyAlignment="1" pivotButton="0" quotePrefix="0" xfId="0">
      <alignment horizontal="left" vertical="center" wrapText="1"/>
    </xf>
    <xf numFmtId="0" fontId="7" fillId="3"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8" fillId="8" borderId="14" applyAlignment="1" pivotButton="0" quotePrefix="0" xfId="0">
      <alignment horizontal="left" vertical="center"/>
    </xf>
    <xf numFmtId="0" fontId="8" fillId="8" borderId="15" applyAlignment="1" pivotButton="0" quotePrefix="0" xfId="0">
      <alignment horizontal="center" vertical="center" wrapText="1"/>
    </xf>
    <xf numFmtId="164" fontId="8" fillId="8" borderId="15" applyAlignment="1" pivotButton="0" quotePrefix="0" xfId="0">
      <alignment horizontal="center" vertical="center" wrapText="1"/>
    </xf>
    <xf numFmtId="1" fontId="8" fillId="8" borderId="15" applyAlignment="1" pivotButton="0" quotePrefix="0" xfId="0">
      <alignment horizontal="center" vertical="center" wrapText="1"/>
    </xf>
    <xf numFmtId="2" fontId="8" fillId="8" borderId="15" applyAlignment="1" pivotButton="0" quotePrefix="0" xfId="0">
      <alignment horizontal="center" vertical="center" wrapText="1"/>
    </xf>
    <xf numFmtId="0" fontId="8" fillId="8"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164" fontId="0" fillId="0" borderId="0" pivotButton="0" quotePrefix="0" xfId="0"/>
    <xf numFmtId="165" fontId="0" fillId="0" borderId="0" pivotButton="0" quotePrefix="0" xfId="0"/>
    <xf numFmtId="165" fontId="8" fillId="8" borderId="15"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5" applyAlignment="1" pivotButton="0" quotePrefix="0" xfId="0">
      <alignment horizontal="left" vertical="center" wrapText="1"/>
    </xf>
    <xf numFmtId="0" fontId="7" fillId="0"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5" applyAlignment="1" pivotButton="0" quotePrefix="0" xfId="0">
      <alignment horizontal="left" vertical="center" wrapText="1"/>
    </xf>
    <xf numFmtId="0" fontId="7" fillId="3"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1F6FB2"/>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94"/>
  <sheetViews>
    <sheetView tabSelected="1" zoomScaleNormal="100" workbookViewId="0">
      <pane ySplit="2" topLeftCell="A3" activePane="bottomLeft" state="frozen"/>
      <selection pane="bottomLeft" activeCell="A1" sqref="A1"/>
    </sheetView>
  </sheetViews>
  <sheetFormatPr baseColWidth="8" defaultColWidth="8.7109375" defaultRowHeight="15"/>
  <cols>
    <col width="15.14" customWidth="1" min="1" max="1"/>
    <col width="17.71" customWidth="1" min="2" max="2"/>
    <col width="15.71" customWidth="1" min="3" max="3"/>
    <col width="6" customWidth="1" min="4" max="6"/>
    <col width="13" customWidth="1" min="5" max="5"/>
    <col width="13" customWidth="1" min="6" max="6"/>
    <col width="12.14" customWidth="1" min="7" max="7"/>
    <col width="13" customWidth="1" min="8" max="9"/>
    <col width="12" customWidth="1" min="9" max="9"/>
    <col width="6" customWidth="1" min="10" max="10"/>
    <col width="13" customWidth="1" min="11" max="11"/>
    <col width="8" customWidth="1" min="12" max="12"/>
    <col width="12" customWidth="1" min="13" max="13"/>
    <col width="11" customWidth="1" min="14" max="14"/>
    <col width="9" customWidth="1" min="15" max="15"/>
    <col width="8" customWidth="1" min="16" max="16"/>
    <col width="10" customWidth="1" min="17" max="17"/>
    <col width="11" customWidth="1" min="18" max="18"/>
    <col width="13" customWidth="1" min="19" max="19"/>
    <col width="38" customWidth="1" min="20" max="20"/>
    <col width="16" customWidth="1" min="21" max="21"/>
    <col width="83.86" customWidth="1" min="22" max="22"/>
    <col width="14" customWidth="1" min="23" max="23"/>
  </cols>
  <sheetData>
    <row r="1" ht="28" customHeight="1">
      <c r="A1" s="789" t="inlineStr">
        <is>
          <t>Date</t>
        </is>
      </c>
      <c r="B1" s="790" t="inlineStr">
        <is>
          <t>Time</t>
        </is>
      </c>
      <c r="C1" s="790" t="inlineStr">
        <is>
          <t>Type</t>
        </is>
      </c>
      <c r="D1" s="790" t="inlineStr">
        <is>
          <t>pH</t>
        </is>
      </c>
      <c r="E1" s="790" t="inlineStr">
        <is>
          <t>FC</t>
        </is>
      </c>
      <c r="F1" s="790" t="inlineStr">
        <is>
          <t>CC</t>
        </is>
      </c>
      <c r="G1" s="790" t="inlineStr">
        <is>
          <t>FC loss (ppm/24h)</t>
        </is>
      </c>
      <c r="H1" s="790" t="inlineStr">
        <is>
          <t>Pred next-noon FC</t>
        </is>
      </c>
      <c r="I1" s="790" t="inlineStr">
        <is>
          <t>Pred error (ppm)</t>
        </is>
      </c>
      <c r="J1" s="790" t="inlineStr">
        <is>
          <t>TA</t>
        </is>
      </c>
      <c r="K1" s="790" t="inlineStr">
        <is>
          <t>CH</t>
        </is>
      </c>
      <c r="L1" s="790" t="inlineStr">
        <is>
          <t>CYA</t>
        </is>
      </c>
      <c r="M1" s="790" t="inlineStr">
        <is>
          <t>Chlorine added (gal)</t>
        </is>
      </c>
      <c r="N1" s="790" t="inlineStr">
        <is>
          <t>Cum. Cl (gal)</t>
        </is>
      </c>
      <c r="O1" s="790" t="inlineStr">
        <is>
          <t>Sun (hrs)</t>
        </is>
      </c>
      <c r="P1" s="790" t="inlineStr">
        <is>
          <t>Rain (in)</t>
        </is>
      </c>
      <c r="Q1" s="790" t="inlineStr">
        <is>
          <t>Fill (gal)</t>
        </is>
      </c>
      <c r="R1" s="790" t="inlineStr">
        <is>
          <t>Water temp (°F)</t>
        </is>
      </c>
      <c r="S1" s="790" t="inlineStr">
        <is>
          <t>Water level (cm)</t>
        </is>
      </c>
      <c r="T1" s="790" t="inlineStr">
        <is>
          <t>Weather</t>
        </is>
      </c>
      <c r="U1" s="790" t="inlineStr">
        <is>
          <t>Photo</t>
        </is>
      </c>
      <c r="V1" s="790" t="inlineStr">
        <is>
          <t>Notes</t>
        </is>
      </c>
      <c r="W1" s="791" t="inlineStr">
        <is>
          <t>Load</t>
        </is>
      </c>
    </row>
    <row r="2" ht="20" customHeight="1">
      <c r="A2" s="834" t="inlineStr">
        <is>
          <t>SEASON TOTALS</t>
        </is>
      </c>
      <c r="B2" s="835" t="n"/>
      <c r="C2" s="835" t="n"/>
      <c r="D2" s="836" t="n"/>
      <c r="E2" s="836" t="n"/>
      <c r="F2" s="836" t="n"/>
      <c r="G2" s="836" t="n"/>
      <c r="H2" s="836" t="n"/>
      <c r="I2" s="932" t="n"/>
      <c r="J2" s="837" t="n"/>
      <c r="K2" s="837" t="n"/>
      <c r="L2" s="837" t="n"/>
      <c r="M2" s="836">
        <f>SUM(M3:M5000)</f>
        <v/>
      </c>
      <c r="N2" s="836" t="n"/>
      <c r="O2" s="836" t="n"/>
      <c r="P2" s="838">
        <f>SUM(P3:P5000)</f>
        <v/>
      </c>
      <c r="Q2" s="836">
        <f>SUM(Q3:Q5000)</f>
        <v/>
      </c>
      <c r="R2" s="836" t="n"/>
      <c r="S2" s="836" t="n"/>
      <c r="T2" s="835" t="n"/>
      <c r="U2" s="835" t="n"/>
      <c r="V2" s="835" t="n"/>
      <c r="W2" s="839" t="n"/>
    </row>
    <row r="3">
      <c r="A3" s="3955" t="inlineStr">
        <is>
          <t>2026-06-18</t>
        </is>
      </c>
      <c r="B3" s="3956" t="n"/>
      <c r="C3" s="3956" t="inlineStr">
        <is>
          <t>EVENT - Open</t>
        </is>
      </c>
      <c r="D3" s="3957" t="n"/>
      <c r="E3" s="3957" t="n"/>
      <c r="F3" s="3957" t="n"/>
      <c r="G3" s="3957" t="n"/>
      <c r="H3" s="3957" t="n"/>
      <c r="I3" s="3958" t="n"/>
      <c r="J3" s="3959" t="n"/>
      <c r="K3" s="3959" t="n"/>
      <c r="L3" s="3959" t="n"/>
      <c r="M3" s="3957" t="n"/>
      <c r="N3" s="3957" t="n"/>
      <c r="O3" s="3957" t="n"/>
      <c r="P3" s="3960" t="n"/>
      <c r="Q3" s="3957" t="n"/>
      <c r="R3" s="3957" t="n"/>
      <c r="S3" s="3957" t="n"/>
      <c r="T3" s="624" t="n"/>
      <c r="U3" s="3956" t="n"/>
      <c r="V3" s="624" t="inlineStr">
        <is>
          <t>Pool open for season. Switched from trichlor tabs to liquid chlorine (Pool Tech 12.5%) due to high CYA. Pulled tabs from skimmer/feeder.</t>
        </is>
      </c>
      <c r="W3" s="3961" t="n"/>
    </row>
    <row r="4" ht="20" customHeight="1">
      <c r="A4" s="3962" t="inlineStr">
        <is>
          <t>2026-06-18</t>
        </is>
      </c>
      <c r="B4" s="3963" t="inlineStr">
        <is>
          <t>evening</t>
        </is>
      </c>
      <c r="C4" s="3963" t="inlineStr">
        <is>
          <t>DOSE</t>
        </is>
      </c>
      <c r="D4" s="3964" t="n"/>
      <c r="E4" s="3964" t="n"/>
      <c r="F4" s="3964" t="n"/>
      <c r="G4" s="3964" t="n"/>
      <c r="H4" s="3964" t="n"/>
      <c r="I4" s="3965" t="n"/>
      <c r="J4" s="3966" t="n"/>
      <c r="K4" s="3966" t="n"/>
      <c r="L4" s="3966" t="n"/>
      <c r="M4" s="3964" t="n">
        <v>3</v>
      </c>
      <c r="N4" s="3964" t="n">
        <v>3</v>
      </c>
      <c r="O4" s="3964" t="n"/>
      <c r="P4" s="3967" t="n"/>
      <c r="Q4" s="3964" t="n"/>
      <c r="R4" s="3964" t="n"/>
      <c r="S4" s="3964" t="n"/>
      <c r="T4" s="631" t="n"/>
      <c r="U4" s="3963" t="n"/>
      <c r="V4" s="631" t="inlineStr">
        <is>
          <t>Initial 3 gal added; let pump run overnight to mix. FC before ~0.4.</t>
        </is>
      </c>
      <c r="W4" s="3968" t="n"/>
    </row>
    <row r="5" ht="20" customHeight="1">
      <c r="A5" s="3969" t="inlineStr">
        <is>
          <t>2026-06-19</t>
        </is>
      </c>
      <c r="B5" s="3970" t="inlineStr">
        <is>
          <t>12:01</t>
        </is>
      </c>
      <c r="C5" s="3970" t="inlineStr">
        <is>
          <t>TEST</t>
        </is>
      </c>
      <c r="D5" s="3971" t="n">
        <v>7.3</v>
      </c>
      <c r="E5" s="3971" t="n">
        <v>3.4</v>
      </c>
      <c r="F5" s="3971" t="n">
        <v>0.2</v>
      </c>
      <c r="G5" s="3971" t="n"/>
      <c r="H5" s="3971" t="n"/>
      <c r="I5" s="3972" t="n"/>
      <c r="J5" s="3973" t="n">
        <v>140</v>
      </c>
      <c r="K5" s="3973" t="n">
        <v>160</v>
      </c>
      <c r="L5" s="3973" t="inlineStr">
        <is>
          <t>~100</t>
        </is>
      </c>
      <c r="M5" s="3971" t="n"/>
      <c r="N5" s="3971" t="n"/>
      <c r="O5" s="3971" t="n">
        <v>13.7</v>
      </c>
      <c r="P5" s="3974" t="n">
        <v>0</v>
      </c>
      <c r="Q5" s="3971" t="n"/>
      <c r="R5" s="3971" t="n"/>
      <c r="S5" s="3971" t="n"/>
      <c r="T5" s="813" t="n"/>
      <c r="U5" s="3970" t="n"/>
      <c r="V5" s="813" t="inlineStr">
        <is>
          <t>25 mL fill, x0.2. First clean panel. (CYA later found &gt;100 - see 6/20.)</t>
        </is>
      </c>
      <c r="W5" s="3975" t="n"/>
    </row>
    <row r="6" ht="20" customHeight="1">
      <c r="A6" s="3976" t="inlineStr">
        <is>
          <t>2026-06-19</t>
        </is>
      </c>
      <c r="B6" s="3977" t="inlineStr">
        <is>
          <t>14:00</t>
        </is>
      </c>
      <c r="C6" s="3977" t="inlineStr">
        <is>
          <t>DOSE</t>
        </is>
      </c>
      <c r="D6" s="3978" t="n"/>
      <c r="E6" s="3978" t="n"/>
      <c r="F6" s="3978" t="n"/>
      <c r="G6" s="3978" t="n"/>
      <c r="H6" s="3978" t="n"/>
      <c r="I6" s="3979" t="n"/>
      <c r="J6" s="3980" t="n"/>
      <c r="K6" s="3980" t="n"/>
      <c r="L6" s="3980" t="n"/>
      <c r="M6" s="3978" t="n">
        <v>1.5</v>
      </c>
      <c r="N6" s="3978" t="n">
        <v>4.5</v>
      </c>
      <c r="O6" s="3978" t="n"/>
      <c r="P6" s="3981" t="n"/>
      <c r="Q6" s="3978" t="n"/>
      <c r="R6" s="3978" t="n"/>
      <c r="S6" s="3978" t="n"/>
      <c r="T6" s="820" t="n"/>
      <c r="U6" s="3977" t="n"/>
      <c r="V6" s="820" t="inlineStr">
        <is>
          <t>Added to correct low FC (3.4 below floor). Est. +5.1 -&gt; ~8.5. Pump running.</t>
        </is>
      </c>
      <c r="W6" s="3982" t="n"/>
    </row>
    <row r="7" ht="20" customHeight="1">
      <c r="A7" s="3983" t="inlineStr">
        <is>
          <t>2026-06-19</t>
        </is>
      </c>
      <c r="B7" s="3984" t="inlineStr">
        <is>
          <t>22:00</t>
        </is>
      </c>
      <c r="C7" s="3984" t="inlineStr">
        <is>
          <t>PUMP</t>
        </is>
      </c>
      <c r="D7" s="3985" t="n"/>
      <c r="E7" s="3985" t="n"/>
      <c r="F7" s="3985" t="n"/>
      <c r="G7" s="3985" t="n"/>
      <c r="H7" s="3985" t="n"/>
      <c r="I7" s="3986" t="n"/>
      <c r="J7" s="3987" t="n"/>
      <c r="K7" s="3987" t="n"/>
      <c r="L7" s="3987" t="n"/>
      <c r="M7" s="3985" t="n"/>
      <c r="N7" s="3985" t="n"/>
      <c r="O7" s="3985" t="n"/>
      <c r="P7" s="3988" t="n"/>
      <c r="Q7" s="3985" t="n"/>
      <c r="R7" s="3985" t="n"/>
      <c r="S7" s="3985" t="n"/>
      <c r="T7" s="827" t="n"/>
      <c r="U7" s="3984" t="n"/>
      <c r="V7" s="827" t="inlineStr">
        <is>
          <t>Pump OFF for night (~10 PM, approximate - planned schedule).</t>
        </is>
      </c>
      <c r="W7" s="3989" t="n"/>
    </row>
    <row r="8" ht="20" customHeight="1">
      <c r="A8" s="3955" t="inlineStr">
        <is>
          <t>2026-06-20</t>
        </is>
      </c>
      <c r="B8" s="3956" t="inlineStr">
        <is>
          <t>07:00</t>
        </is>
      </c>
      <c r="C8" s="3956" t="inlineStr">
        <is>
          <t>PUMP</t>
        </is>
      </c>
      <c r="D8" s="3957" t="n"/>
      <c r="E8" s="3957" t="n"/>
      <c r="F8" s="3957" t="n"/>
      <c r="G8" s="3957" t="n"/>
      <c r="H8" s="3957" t="n"/>
      <c r="I8" s="3958" t="n"/>
      <c r="J8" s="3959" t="n"/>
      <c r="K8" s="3959" t="n"/>
      <c r="L8" s="3959" t="n"/>
      <c r="M8" s="3957" t="n"/>
      <c r="N8" s="3957" t="n"/>
      <c r="O8" s="3957" t="n"/>
      <c r="P8" s="3960" t="n"/>
      <c r="Q8" s="3957" t="n"/>
      <c r="R8" s="3957" t="n"/>
      <c r="S8" s="3957" t="n"/>
      <c r="T8" s="624" t="n"/>
      <c r="U8" s="3956" t="n"/>
      <c r="V8" s="624" t="inlineStr">
        <is>
          <t>Pump ON for the day (~7 AM, approximate - planned schedule).</t>
        </is>
      </c>
      <c r="W8" s="3961" t="n"/>
    </row>
    <row r="9">
      <c r="A9" s="3990" t="inlineStr">
        <is>
          <t>2026-06-20</t>
        </is>
      </c>
      <c r="B9" s="3991" t="inlineStr">
        <is>
          <t>12:00</t>
        </is>
      </c>
      <c r="C9" s="3991" t="inlineStr">
        <is>
          <t>TEST</t>
        </is>
      </c>
      <c r="D9" s="3992" t="n">
        <v>7.3</v>
      </c>
      <c r="E9" s="3992" t="n">
        <v>4.6</v>
      </c>
      <c r="F9" s="3992" t="n">
        <v>0.2</v>
      </c>
      <c r="G9" s="3992" t="n">
        <v>4.1</v>
      </c>
      <c r="H9" s="3992" t="n"/>
      <c r="I9" s="3993" t="n"/>
      <c r="J9" s="3994" t="n">
        <v>130</v>
      </c>
      <c r="K9" s="3994" t="n">
        <v>150</v>
      </c>
      <c r="L9" s="3994" t="inlineStr">
        <is>
          <t>&gt;100</t>
        </is>
      </c>
      <c r="M9" s="3992" t="n"/>
      <c r="N9" s="3992" t="n"/>
      <c r="O9" s="3992" t="n">
        <v>14</v>
      </c>
      <c r="P9" s="3995" t="n">
        <v>0</v>
      </c>
      <c r="Q9" s="3992" t="n"/>
      <c r="R9" s="3992" t="n"/>
      <c r="S9" s="3992" t="n"/>
      <c r="T9" s="659" t="inlineStr">
        <is>
          <t>Super sunny, dry, low humidity, 80s</t>
        </is>
      </c>
      <c r="U9" s="3991" t="n"/>
      <c r="V9" s="659" t="inlineStr">
        <is>
          <t>25 mL x0.2. FC dropped ~8.5-&gt;4.6 (~3.9/22hr) = ~4 ppm/day sunny-day loss. CYA off scale (&gt;100).</t>
        </is>
      </c>
      <c r="W9" s="3996" t="n"/>
    </row>
    <row r="10">
      <c r="A10" s="3990" t="inlineStr">
        <is>
          <t>2026-06-20</t>
        </is>
      </c>
      <c r="B10" s="3991" t="inlineStr">
        <is>
          <t>afternoon</t>
        </is>
      </c>
      <c r="C10" s="3991" t="inlineStr">
        <is>
          <t>TEST</t>
        </is>
      </c>
      <c r="D10" s="3992" t="n"/>
      <c r="E10" s="3992" t="n"/>
      <c r="F10" s="3992" t="n"/>
      <c r="G10" s="3992" t="n"/>
      <c r="H10" s="3992" t="n"/>
      <c r="I10" s="3993" t="n"/>
      <c r="J10" s="3994" t="n"/>
      <c r="K10" s="3994" t="n"/>
      <c r="L10" s="3994" t="inlineStr">
        <is>
          <t>~160</t>
        </is>
      </c>
      <c r="M10" s="3992" t="n"/>
      <c r="N10" s="3992" t="n"/>
      <c r="O10" s="3992" t="n"/>
      <c r="P10" s="3995" t="n"/>
      <c r="Q10" s="3992" t="n"/>
      <c r="R10" s="3992" t="n"/>
      <c r="S10" s="3992" t="n"/>
      <c r="T10" s="659" t="n"/>
      <c r="U10" s="3991" t="n"/>
      <c r="V10" s="659" t="inlineStr">
        <is>
          <t>Diluted CYA test: 50/50 pool+distilled read ~80, x2 = ~160. Old reagents, approximate (+/-15).</t>
        </is>
      </c>
      <c r="W10" s="3996" t="n"/>
    </row>
    <row r="11" ht="20" customHeight="1">
      <c r="A11" s="3990" t="inlineStr">
        <is>
          <t>2026-06-20</t>
        </is>
      </c>
      <c r="B11" s="3991" t="inlineStr">
        <is>
          <t>afternoon</t>
        </is>
      </c>
      <c r="C11" s="3991" t="inlineStr">
        <is>
          <t>DOSE</t>
        </is>
      </c>
      <c r="D11" s="3992" t="n"/>
      <c r="E11" s="3992" t="n"/>
      <c r="F11" s="3992" t="n"/>
      <c r="G11" s="3992" t="n"/>
      <c r="H11" s="3992" t="n"/>
      <c r="I11" s="3993" t="n"/>
      <c r="J11" s="3994" t="n"/>
      <c r="K11" s="3994" t="n"/>
      <c r="L11" s="3994" t="n"/>
      <c r="M11" s="3992" t="n">
        <v>2</v>
      </c>
      <c r="N11" s="3992" t="n">
        <v>6.5</v>
      </c>
      <c r="O11" s="3992" t="n"/>
      <c r="P11" s="3995" t="n"/>
      <c r="Q11" s="3992" t="n"/>
      <c r="R11" s="3992" t="n"/>
      <c r="S11" s="3992" t="n"/>
      <c r="T11" s="659" t="n"/>
      <c r="U11" s="3991" t="n"/>
      <c r="V11" s="659" t="inlineStr">
        <is>
          <t>Top-up toward target band for CYA ~160 (floor ~11).</t>
        </is>
      </c>
      <c r="W11" s="3996" t="n"/>
    </row>
    <row r="12" ht="20" customHeight="1">
      <c r="A12" s="3962" t="inlineStr">
        <is>
          <t>2026-06-20</t>
        </is>
      </c>
      <c r="B12" s="3963" t="inlineStr">
        <is>
          <t>22:00</t>
        </is>
      </c>
      <c r="C12" s="3963" t="inlineStr">
        <is>
          <t>PUMP</t>
        </is>
      </c>
      <c r="D12" s="3964" t="n"/>
      <c r="E12" s="3964" t="n"/>
      <c r="F12" s="3964" t="n"/>
      <c r="G12" s="3964" t="n"/>
      <c r="H12" s="3964" t="n"/>
      <c r="I12" s="3965" t="n"/>
      <c r="J12" s="3966" t="n"/>
      <c r="K12" s="3966" t="n"/>
      <c r="L12" s="3966" t="n"/>
      <c r="M12" s="3964" t="n"/>
      <c r="N12" s="3964" t="n"/>
      <c r="O12" s="3964" t="n"/>
      <c r="P12" s="3967" t="n"/>
      <c r="Q12" s="3964" t="n"/>
      <c r="R12" s="3964" t="n"/>
      <c r="S12" s="3964" t="n"/>
      <c r="T12" s="631" t="n"/>
      <c r="U12" s="3963" t="n"/>
      <c r="V12" s="631" t="inlineStr">
        <is>
          <t>Pump OFF for night (~10 PM, approximate - planned schedule).</t>
        </is>
      </c>
      <c r="W12" s="3968" t="n"/>
    </row>
    <row r="13">
      <c r="A13" s="3969" t="inlineStr">
        <is>
          <t>2026-06-21</t>
        </is>
      </c>
      <c r="B13" s="3970" t="n"/>
      <c r="C13" s="3970" t="inlineStr">
        <is>
          <t>NOTE</t>
        </is>
      </c>
      <c r="D13" s="3971" t="n"/>
      <c r="E13" s="3971" t="n"/>
      <c r="F13" s="3971" t="n"/>
      <c r="G13" s="3971" t="n"/>
      <c r="H13" s="3971" t="n"/>
      <c r="I13" s="3972" t="n"/>
      <c r="J13" s="3973" t="n"/>
      <c r="K13" s="3973" t="n"/>
      <c r="L13" s="3973" t="n"/>
      <c r="M13" s="3971" t="n"/>
      <c r="N13" s="3971" t="n"/>
      <c r="O13" s="3971" t="n"/>
      <c r="P13" s="3974" t="n"/>
      <c r="Q13" s="3971" t="n"/>
      <c r="R13" s="3971" t="n"/>
      <c r="S13" s="3971" t="n"/>
      <c r="T13" s="813" t="n"/>
      <c r="U13" s="3970" t="n"/>
      <c r="V13" s="813" t="inlineStr">
        <is>
          <t>No water added today. Dog swam ~1 min (negligible load). Rain expected 6/22 afternoon.</t>
        </is>
      </c>
      <c r="W13" s="3975" t="n"/>
    </row>
    <row r="14">
      <c r="A14" s="3976" t="inlineStr">
        <is>
          <t>2026-06-21</t>
        </is>
      </c>
      <c r="B14" s="3977" t="inlineStr">
        <is>
          <t>11:15</t>
        </is>
      </c>
      <c r="C14" s="3977" t="inlineStr">
        <is>
          <t>TEST</t>
        </is>
      </c>
      <c r="D14" s="3978" t="n"/>
      <c r="E14" s="3978" t="n">
        <v>10.2</v>
      </c>
      <c r="F14" s="3978" t="n">
        <v>0</v>
      </c>
      <c r="G14" s="3978" t="n">
        <v>1.4</v>
      </c>
      <c r="H14" s="3978" t="n"/>
      <c r="I14" s="3979" t="n"/>
      <c r="J14" s="3980" t="n"/>
      <c r="K14" s="3980" t="n"/>
      <c r="L14" s="3980" t="n"/>
      <c r="M14" s="3978" t="n"/>
      <c r="N14" s="3978" t="n"/>
      <c r="O14" s="3978" t="n">
        <v>13.6</v>
      </c>
      <c r="P14" s="3981" t="n">
        <v>0</v>
      </c>
      <c r="Q14" s="3978" t="n"/>
      <c r="R14" s="3978" t="n"/>
      <c r="S14" s="3978" t="n"/>
      <c r="T14" s="820" t="inlineStr">
        <is>
          <t>Super sunny, dry, low humidity, low-mid 80s</t>
        </is>
      </c>
      <c r="U14" s="3977" t="n"/>
      <c r="V14" s="820" t="inlineStr">
        <is>
          <t>25 mL x0.2. FC 10.2 (just below floor 11), CC 0.</t>
        </is>
      </c>
      <c r="W14" s="3982" t="n"/>
    </row>
    <row r="15" ht="20" customHeight="1">
      <c r="A15" s="3976" t="inlineStr">
        <is>
          <t>2026-06-21</t>
        </is>
      </c>
      <c r="B15" s="3977" t="inlineStr">
        <is>
          <t>~11:30</t>
        </is>
      </c>
      <c r="C15" s="3977" t="inlineStr">
        <is>
          <t>DOSE</t>
        </is>
      </c>
      <c r="D15" s="3978" t="n"/>
      <c r="E15" s="3978" t="n"/>
      <c r="F15" s="3978" t="n"/>
      <c r="G15" s="3978" t="n"/>
      <c r="H15" s="3978" t="n"/>
      <c r="I15" s="3979" t="n"/>
      <c r="J15" s="3980" t="n"/>
      <c r="K15" s="3980" t="n"/>
      <c r="L15" s="3980" t="n"/>
      <c r="M15" s="3978" t="n">
        <v>1.5</v>
      </c>
      <c r="N15" s="3978" t="n">
        <v>8</v>
      </c>
      <c r="O15" s="3978" t="n"/>
      <c r="P15" s="3981" t="n"/>
      <c r="Q15" s="3978" t="n"/>
      <c r="R15" s="3978" t="n"/>
      <c r="S15" s="3978" t="n"/>
      <c r="T15" s="820" t="n"/>
      <c r="U15" s="3977" t="n"/>
      <c r="V15" s="820" t="inlineStr">
        <is>
          <t>Target top of band ~16. 1.5 gal ~ +5.3 -&gt; ~15.5. Pump running.</t>
        </is>
      </c>
      <c r="W15" s="3982" t="n"/>
    </row>
    <row r="16" ht="20" customHeight="1">
      <c r="A16" s="3983" t="inlineStr">
        <is>
          <t>2026-06-21</t>
        </is>
      </c>
      <c r="B16" s="3984" t="inlineStr">
        <is>
          <t>22:40</t>
        </is>
      </c>
      <c r="C16" s="3984" t="inlineStr">
        <is>
          <t>PUMP</t>
        </is>
      </c>
      <c r="D16" s="3985" t="n"/>
      <c r="E16" s="3985" t="n"/>
      <c r="F16" s="3985" t="n"/>
      <c r="G16" s="3985" t="n"/>
      <c r="H16" s="3985" t="n"/>
      <c r="I16" s="3986" t="n"/>
      <c r="J16" s="3987" t="n"/>
      <c r="K16" s="3987" t="n"/>
      <c r="L16" s="3987" t="n"/>
      <c r="M16" s="3985" t="n"/>
      <c r="N16" s="3985" t="n"/>
      <c r="O16" s="3985" t="n"/>
      <c r="P16" s="3988" t="n"/>
      <c r="Q16" s="3985" t="n"/>
      <c r="R16" s="3985" t="n"/>
      <c r="S16" s="3985" t="n"/>
      <c r="T16" s="827" t="n"/>
      <c r="U16" s="3984" t="n"/>
      <c r="V16" s="827" t="inlineStr">
        <is>
          <t>Pump OFF for night (~10:40 PM).</t>
        </is>
      </c>
      <c r="W16" s="3989" t="n"/>
    </row>
    <row r="17" ht="20" customHeight="1">
      <c r="A17" s="3955" t="inlineStr">
        <is>
          <t>2026-06-22</t>
        </is>
      </c>
      <c r="B17" s="3956" t="inlineStr">
        <is>
          <t>07:00</t>
        </is>
      </c>
      <c r="C17" s="3956" t="inlineStr">
        <is>
          <t>PUMP</t>
        </is>
      </c>
      <c r="D17" s="3957" t="n"/>
      <c r="E17" s="3957" t="n"/>
      <c r="F17" s="3957" t="n"/>
      <c r="G17" s="3957" t="n"/>
      <c r="H17" s="3957" t="n"/>
      <c r="I17" s="3958" t="n"/>
      <c r="J17" s="3959" t="n"/>
      <c r="K17" s="3959" t="n"/>
      <c r="L17" s="3959" t="n"/>
      <c r="M17" s="3957" t="n"/>
      <c r="N17" s="3957" t="n"/>
      <c r="O17" s="3957" t="n"/>
      <c r="P17" s="3960" t="n"/>
      <c r="Q17" s="3957" t="n"/>
      <c r="R17" s="3957" t="n"/>
      <c r="S17" s="3957" t="n"/>
      <c r="T17" s="624" t="n"/>
      <c r="U17" s="3956" t="n"/>
      <c r="V17" s="624" t="inlineStr">
        <is>
          <t>Pump ON for the day (7 AM).</t>
        </is>
      </c>
      <c r="W17" s="3961" t="n"/>
    </row>
    <row r="18">
      <c r="A18" s="3990" t="inlineStr">
        <is>
          <t>2026-06-22</t>
        </is>
      </c>
      <c r="B18" s="3991" t="inlineStr">
        <is>
          <t>11:55</t>
        </is>
      </c>
      <c r="C18" s="3991" t="inlineStr">
        <is>
          <t>TEST</t>
        </is>
      </c>
      <c r="D18" s="3992" t="n"/>
      <c r="E18" s="3992" t="n">
        <v>12</v>
      </c>
      <c r="F18" s="3992" t="n">
        <v>0.4</v>
      </c>
      <c r="G18" s="3992" t="n">
        <v>3.4</v>
      </c>
      <c r="H18" s="3992" t="n"/>
      <c r="I18" s="3993" t="n"/>
      <c r="J18" s="3994" t="n"/>
      <c r="K18" s="3994" t="n"/>
      <c r="L18" s="3994" t="n"/>
      <c r="M18" s="3992" t="n"/>
      <c r="N18" s="3992" t="n"/>
      <c r="O18" s="3992" t="n">
        <v>0.3</v>
      </c>
      <c r="P18" s="3995" t="n">
        <v>0.33</v>
      </c>
      <c r="Q18" s="3992" t="n"/>
      <c r="R18" s="3992" t="n"/>
      <c r="S18" s="3992" t="n"/>
      <c r="T18" s="659" t="inlineStr">
        <is>
          <t>Mostly cloudy, 69F, 74% humidity, 0 in precip</t>
        </is>
      </c>
      <c r="U18" s="3991" t="n"/>
      <c r="V18" s="659" t="inlineStr">
        <is>
          <t>25 mL x0.2. FC 12.0 (above floor 11, below target band 13-16), CC 0.4 (slightly above ~0 goal). Cool/cloudy = low UV loss day.</t>
        </is>
      </c>
      <c r="W18" s="3996" t="n"/>
    </row>
    <row r="19">
      <c r="A19" s="3990" t="inlineStr">
        <is>
          <t>2026-06-22</t>
        </is>
      </c>
      <c r="B19" s="3991" t="inlineStr">
        <is>
          <t>12:00</t>
        </is>
      </c>
      <c r="C19" s="3991" t="inlineStr">
        <is>
          <t>DOSE</t>
        </is>
      </c>
      <c r="D19" s="3992" t="n"/>
      <c r="E19" s="3992" t="n"/>
      <c r="F19" s="3992" t="n"/>
      <c r="G19" s="3992" t="n"/>
      <c r="H19" s="3992" t="n"/>
      <c r="I19" s="3993" t="n"/>
      <c r="J19" s="3994" t="n"/>
      <c r="K19" s="3994" t="n"/>
      <c r="L19" s="3994" t="n"/>
      <c r="M19" s="3992" t="n">
        <v>1</v>
      </c>
      <c r="N19" s="3992" t="n">
        <v>9</v>
      </c>
      <c r="O19" s="3992" t="n"/>
      <c r="P19" s="3995" t="n"/>
      <c r="Q19" s="3992" t="n"/>
      <c r="R19" s="3992" t="n"/>
      <c r="S19" s="3992" t="n"/>
      <c r="T19" s="659" t="inlineStr">
        <is>
          <t>Mostly cloudy, 69F</t>
        </is>
      </c>
      <c r="U19" s="3991" t="n"/>
      <c r="V19" s="659" t="inlineStr">
        <is>
          <t>Dose to ~16 top of band. 1.0 gal ~ +3.5 -&gt; ~15.5. Conservative on a low-loss cloudy day. Higher FC should clear CC 0.4 by tomorrow. Pump running.</t>
        </is>
      </c>
      <c r="W19" s="3996" t="n"/>
    </row>
    <row r="20">
      <c r="A20" s="3990" t="inlineStr">
        <is>
          <t>2026-06-22</t>
        </is>
      </c>
      <c r="B20" s="3991" t="inlineStr">
        <is>
          <t>afternoon</t>
        </is>
      </c>
      <c r="C20" s="3991" t="inlineStr">
        <is>
          <t>EVENT - Storm</t>
        </is>
      </c>
      <c r="D20" s="3992" t="n"/>
      <c r="E20" s="3992" t="n"/>
      <c r="F20" s="3992" t="n"/>
      <c r="G20" s="3992" t="n"/>
      <c r="H20" s="3992" t="n"/>
      <c r="I20" s="3993" t="n"/>
      <c r="J20" s="3994" t="n"/>
      <c r="K20" s="3994" t="n"/>
      <c r="L20" s="3994" t="n"/>
      <c r="M20" s="3992" t="n"/>
      <c r="N20" s="3992" t="n"/>
      <c r="O20" s="3992" t="n"/>
      <c r="P20" s="3995" t="n"/>
      <c r="Q20" s="3992" t="n"/>
      <c r="R20" s="3992" t="n"/>
      <c r="S20" s="3992" t="n"/>
      <c r="T20" s="659" t="inlineStr">
        <is>
          <t>Rain/thunderstorms 1 PM through overnight</t>
        </is>
      </c>
      <c r="U20" s="3991" t="n"/>
      <c r="V20" s="659" t="inlineStr">
        <is>
          <t>Forecast: showers building ~1 PM, peak ~6 PM (96%, 0.12 in), rain/TS all evening + overnight. Est. ~0.3-0.4 in today, ~1+ in through Tue AM. ~1,000+ gal rainwater into 34,400 gal pool = passive CYA dilution (~2-3%). Plenty of freeboard, no overfill concern. Negligible FC loss (no UV).</t>
        </is>
      </c>
      <c r="W20" s="3996" t="n"/>
    </row>
    <row r="21" ht="20" customHeight="1">
      <c r="A21" s="3962" t="inlineStr">
        <is>
          <t>2026-06-22</t>
        </is>
      </c>
      <c r="B21" s="3963" t="inlineStr">
        <is>
          <t>22:10</t>
        </is>
      </c>
      <c r="C21" s="3963" t="inlineStr">
        <is>
          <t>PUMP</t>
        </is>
      </c>
      <c r="D21" s="3964" t="n"/>
      <c r="E21" s="3964" t="n"/>
      <c r="F21" s="3964" t="n"/>
      <c r="G21" s="3964" t="n"/>
      <c r="H21" s="3964" t="n"/>
      <c r="I21" s="3965" t="n"/>
      <c r="J21" s="3966" t="n"/>
      <c r="K21" s="3966" t="n"/>
      <c r="L21" s="3966" t="n"/>
      <c r="M21" s="3964" t="n"/>
      <c r="N21" s="3964" t="n"/>
      <c r="O21" s="3964" t="n"/>
      <c r="P21" s="3967" t="n"/>
      <c r="Q21" s="3964" t="n"/>
      <c r="R21" s="3964" t="n"/>
      <c r="S21" s="3964" t="n"/>
      <c r="T21" s="631" t="n"/>
      <c r="U21" s="3963" t="n"/>
      <c r="V21" s="631" t="inlineStr">
        <is>
          <t>Pump OFF for night (10:10 PM).</t>
        </is>
      </c>
      <c r="W21" s="3968" t="n"/>
    </row>
    <row r="22" ht="20" customHeight="1">
      <c r="A22" s="3969" t="inlineStr">
        <is>
          <t>2026-06-23</t>
        </is>
      </c>
      <c r="B22" s="3970" t="inlineStr">
        <is>
          <t>07:10</t>
        </is>
      </c>
      <c r="C22" s="3970" t="inlineStr">
        <is>
          <t>PUMP</t>
        </is>
      </c>
      <c r="D22" s="3971" t="n"/>
      <c r="E22" s="3971" t="n"/>
      <c r="F22" s="3971" t="n"/>
      <c r="G22" s="3971" t="n"/>
      <c r="H22" s="3971" t="n"/>
      <c r="I22" s="3972" t="n"/>
      <c r="J22" s="3973" t="n"/>
      <c r="K22" s="3973" t="n"/>
      <c r="L22" s="3973" t="n"/>
      <c r="M22" s="3971" t="n"/>
      <c r="N22" s="3971" t="n"/>
      <c r="O22" s="3971" t="n"/>
      <c r="P22" s="3974" t="n"/>
      <c r="Q22" s="3971" t="n"/>
      <c r="R22" s="3971" t="n"/>
      <c r="S22" s="3971" t="n"/>
      <c r="T22" s="813" t="n"/>
      <c r="U22" s="3970" t="n"/>
      <c r="V22" s="813" t="inlineStr">
        <is>
          <t>Pump ON for the day (7:10 AM).</t>
        </is>
      </c>
      <c r="W22" s="3975" t="n"/>
    </row>
    <row r="23">
      <c r="A23" s="3976" t="inlineStr">
        <is>
          <t>2026-06-23</t>
        </is>
      </c>
      <c r="B23" s="3977" t="inlineStr">
        <is>
          <t>12:01</t>
        </is>
      </c>
      <c r="C23" s="3977" t="inlineStr">
        <is>
          <t>TEST</t>
        </is>
      </c>
      <c r="D23" s="3978" t="n"/>
      <c r="E23" s="3978" t="n">
        <v>14</v>
      </c>
      <c r="F23" s="3978" t="n">
        <v>0.4</v>
      </c>
      <c r="G23" s="3978" t="n">
        <v>1.5</v>
      </c>
      <c r="H23" s="3978" t="n"/>
      <c r="I23" s="3979" t="n"/>
      <c r="J23" s="3980" t="n"/>
      <c r="K23" s="3980" t="n"/>
      <c r="L23" s="3980" t="n"/>
      <c r="M23" s="3978" t="n"/>
      <c r="N23" s="3978" t="n"/>
      <c r="O23" s="3978" t="n">
        <v>0</v>
      </c>
      <c r="P23" s="3981" t="n">
        <v>0.2</v>
      </c>
      <c r="Q23" s="3978" t="n"/>
      <c r="R23" s="3978" t="n"/>
      <c r="S23" s="3978" t="n"/>
      <c r="T23" s="820" t="inlineStr">
        <is>
          <t>Overcast, 70F, 87% RH; today high 72F, 0.09in precip, UV max 1.1</t>
        </is>
      </c>
      <c r="U23" s="3977" t="n"/>
      <c r="V23" s="820" t="inlineStr">
        <is>
          <t>25 mL x0.2. FC 14.0 (in band 13-16, above floor 11), CC 0.4. CC holding at 0.4 (same as 6/22) - below 0.5 flag but 2nd day, watching.</t>
        </is>
      </c>
      <c r="W23" s="3982" t="n"/>
    </row>
    <row r="24">
      <c r="A24" s="3983" t="inlineStr">
        <is>
          <t>2026-06-23</t>
        </is>
      </c>
      <c r="B24" s="3984" t="inlineStr">
        <is>
          <t>~12:30</t>
        </is>
      </c>
      <c r="C24" s="3984" t="inlineStr">
        <is>
          <t>DOSE</t>
        </is>
      </c>
      <c r="D24" s="3985" t="n"/>
      <c r="E24" s="3985" t="n"/>
      <c r="F24" s="3985" t="n"/>
      <c r="G24" s="3985" t="n"/>
      <c r="H24" s="3985" t="n"/>
      <c r="I24" s="3986" t="n"/>
      <c r="J24" s="3987" t="n"/>
      <c r="K24" s="3987" t="n"/>
      <c r="L24" s="3987" t="n"/>
      <c r="M24" s="3985" t="n">
        <v>0.5</v>
      </c>
      <c r="N24" s="3985" t="n">
        <v>9.5</v>
      </c>
      <c r="O24" s="3985" t="n"/>
      <c r="P24" s="3988" t="n"/>
      <c r="Q24" s="3985" t="n"/>
      <c r="R24" s="3985" t="n"/>
      <c r="S24" s="3985" t="n"/>
      <c r="T24" s="827" t="inlineStr">
        <is>
          <t>Overcast, 70F, low UV</t>
        </is>
      </c>
      <c r="U24" s="3984" t="n"/>
      <c r="V24" s="827" t="inlineStr">
        <is>
          <t>0.5 gal ~ +1.75 -&gt; ~15.8 (top of band ~16). Cloudy/low-UV day, est ~1.75 ppm loss -&gt; ~14 next noon, still in band. Higher FC should help clear CC 0.4. Added ~12:30 PM, pump running.</t>
        </is>
      </c>
      <c r="W24" s="3989" t="n"/>
    </row>
    <row r="25">
      <c r="A25" s="3955" t="inlineStr">
        <is>
          <t>2026-06-24</t>
        </is>
      </c>
      <c r="B25" s="3956" t="inlineStr">
        <is>
          <t>13:30</t>
        </is>
      </c>
      <c r="C25" s="3956" t="inlineStr">
        <is>
          <t>TEST</t>
        </is>
      </c>
      <c r="D25" s="3957" t="n">
        <v>7.6</v>
      </c>
      <c r="E25" s="3957" t="n">
        <v>11.2</v>
      </c>
      <c r="F25" s="3957" t="n">
        <v>0</v>
      </c>
      <c r="G25" s="3957" t="n">
        <v>4.6</v>
      </c>
      <c r="H25" s="3957" t="n"/>
      <c r="I25" s="3958" t="n"/>
      <c r="J25" s="3959" t="n">
        <v>170</v>
      </c>
      <c r="K25" s="3959" t="n">
        <v>150</v>
      </c>
      <c r="L25" s="3959" t="n">
        <v>150</v>
      </c>
      <c r="M25" s="3957" t="n"/>
      <c r="N25" s="3957" t="n"/>
      <c r="O25" s="3957" t="n">
        <v>13.6</v>
      </c>
      <c r="P25" s="3960" t="n">
        <v>0</v>
      </c>
      <c r="Q25" s="3957" t="n"/>
      <c r="R25" s="3957" t="n"/>
      <c r="S25" s="3957" t="n"/>
      <c r="T25" s="624" t="inlineStr">
        <is>
          <t>Clear, 79F, 40% RH; today high 80F, 0.00in precip, UV max 7.8</t>
        </is>
      </c>
      <c r="U25" s="3956" t="n"/>
      <c r="V25" s="624" t="inlineStr">
        <is>
          <t>FULL BATTERY on FRESH FAS-DPD reagents (25mL x0.2). FC 11.2 (at floor 11), CC 0.0 (confirms 6/22-23 0.4 was old-reagent noise). CYA ~150 via dilution (was ~160 old) -&gt; new anchor, cya_current=150. TA 170 &amp; pH 7.6 (both up from old ~130/~7.3) - leaving alone per rules, watch pH if &gt;7.8. CH 150 (irrelevant on vinyl). NOTE: fc_loss 4.6 crosses old-&gt;fresh reagent change, partly reagent bias.</t>
        </is>
      </c>
      <c r="W25" s="3961" t="n"/>
    </row>
    <row r="26">
      <c r="A26" s="3962" t="inlineStr">
        <is>
          <t>2026-06-24</t>
        </is>
      </c>
      <c r="B26" s="3963" t="inlineStr">
        <is>
          <t>~13:45</t>
        </is>
      </c>
      <c r="C26" s="3963" t="inlineStr">
        <is>
          <t>DOSE</t>
        </is>
      </c>
      <c r="D26" s="3964" t="n"/>
      <c r="E26" s="3964" t="n"/>
      <c r="F26" s="3964" t="n"/>
      <c r="G26" s="3964" t="n"/>
      <c r="H26" s="3964" t="n"/>
      <c r="I26" s="3965" t="n"/>
      <c r="J26" s="3966" t="n"/>
      <c r="K26" s="3966" t="n"/>
      <c r="L26" s="3966" t="n"/>
      <c r="M26" s="3964" t="n">
        <v>1.25</v>
      </c>
      <c r="N26" s="3964" t="n">
        <v>10.75</v>
      </c>
      <c r="O26" s="3964" t="n"/>
      <c r="P26" s="3967" t="n"/>
      <c r="Q26" s="3964" t="n"/>
      <c r="R26" s="3964" t="n"/>
      <c r="S26" s="3964" t="n"/>
      <c r="T26" s="631" t="inlineStr">
        <is>
          <t>Clear, 79F, sunny, UV 7.8</t>
        </is>
      </c>
      <c r="U26" s="3963" t="n"/>
      <c r="V26" s="631" t="inlineStr">
        <is>
          <t>Recommended 1.25 gal (rounded up from 1.0 nominal for high-UV day). ~ +4.4 -&gt; FC ~15.6 (aim ~15). Sunny ~4 ppm loss -&gt; ~11.6 next noon, just above floor 11. First big-sun day after rainy stretch. Confirmed added ~1:45 PM. Pump on (auto 7-22).</t>
        </is>
      </c>
      <c r="W26" s="3968" t="n"/>
    </row>
    <row r="27">
      <c r="A27" s="3969" t="inlineStr">
        <is>
          <t>2026-06-25</t>
        </is>
      </c>
      <c r="B27" s="3970" t="inlineStr">
        <is>
          <t>12:30</t>
        </is>
      </c>
      <c r="C27" s="3970" t="inlineStr">
        <is>
          <t>TEST</t>
        </is>
      </c>
      <c r="D27" s="3971" t="n"/>
      <c r="E27" s="3971" t="n">
        <v>14.4</v>
      </c>
      <c r="F27" s="3971" t="n">
        <v>0</v>
      </c>
      <c r="G27" s="3971" t="n">
        <v>1.2</v>
      </c>
      <c r="H27" s="3971" t="n"/>
      <c r="I27" s="3972" t="n"/>
      <c r="J27" s="3973" t="n"/>
      <c r="K27" s="3973" t="n"/>
      <c r="L27" s="3973" t="n"/>
      <c r="M27" s="3971" t="n"/>
      <c r="N27" s="3971" t="n"/>
      <c r="O27" s="3971" t="n">
        <v>11.6</v>
      </c>
      <c r="P27" s="3974" t="n">
        <v>0</v>
      </c>
      <c r="Q27" s="3971" t="n"/>
      <c r="R27" s="3971" t="n"/>
      <c r="S27" s="3971" t="n"/>
      <c r="T27" s="813" t="inlineStr">
        <is>
          <t>Clear, 75F, 40% RH; today high 80F, 0.00in precip, UV max 7.8</t>
        </is>
      </c>
      <c r="U27" s="3970" t="n"/>
      <c r="V27" s="813" t="inlineStr">
        <is>
          <t>25mL x0.2. FC 14.4 (in band 13-15, at aim 15), CC 0.0. Yesterday's ~15.6 -&gt; 14.4 = only ~1.2 ppm loss over ~23h vs ~4 projected. Dose-timing artifact (dosed 1:45PM, missed peak UV) + high-CYA protection. Watching whether sunny=4.0 in dose.py is too high.</t>
        </is>
      </c>
      <c r="W27" s="3975" t="n"/>
    </row>
    <row r="28">
      <c r="A28" s="3983" t="inlineStr">
        <is>
          <t>2026-06-25</t>
        </is>
      </c>
      <c r="B28" s="3984" t="inlineStr">
        <is>
          <t>18:30</t>
        </is>
      </c>
      <c r="C28" s="3984" t="inlineStr">
        <is>
          <t>DOSE</t>
        </is>
      </c>
      <c r="D28" s="3985" t="n"/>
      <c r="E28" s="3985" t="n"/>
      <c r="F28" s="3985" t="n"/>
      <c r="G28" s="3985" t="n"/>
      <c r="H28" s="3985" t="n"/>
      <c r="I28" s="3986" t="n"/>
      <c r="J28" s="3987" t="n"/>
      <c r="K28" s="3987" t="n"/>
      <c r="L28" s="3987" t="n"/>
      <c r="M28" s="3985" t="n">
        <v>0.25</v>
      </c>
      <c r="N28" s="3985" t="n">
        <v>11</v>
      </c>
      <c r="O28" s="3985" t="n"/>
      <c r="P28" s="3988" t="n"/>
      <c r="Q28" s="3985" t="n"/>
      <c r="R28" s="3985" t="n"/>
      <c r="S28" s="3985" t="n"/>
      <c r="T28" s="827" t="inlineStr">
        <is>
          <t>Clear, 75F, sunny, UV 7.8</t>
        </is>
      </c>
      <c r="U28" s="3984" t="n"/>
      <c r="V28" s="827" t="inlineStr">
        <is>
          <t>0.25 gal top-up. First evening dose under new routine. Added 6:30 PM - pool already out of direct sun by then (shaded earlier than ~8:25 sunset). FC 14.4 at aim -&gt; ~15.3, minimal overnight loss. Pump on (auto off 10 PM).</t>
        </is>
      </c>
      <c r="W28" s="3989" t="n"/>
    </row>
    <row r="29">
      <c r="A29" s="3955" t="inlineStr">
        <is>
          <t>2026-06-26</t>
        </is>
      </c>
      <c r="B29" s="3956" t="inlineStr">
        <is>
          <t>12:25</t>
        </is>
      </c>
      <c r="C29" s="3956" t="inlineStr">
        <is>
          <t>TEST</t>
        </is>
      </c>
      <c r="D29" s="3957" t="n"/>
      <c r="E29" s="3957" t="n">
        <v>14.2</v>
      </c>
      <c r="F29" s="3957" t="n">
        <v>0</v>
      </c>
      <c r="G29" s="3957" t="n">
        <v>1.1</v>
      </c>
      <c r="H29" s="3957" t="n"/>
      <c r="I29" s="3958" t="n"/>
      <c r="J29" s="3959" t="n"/>
      <c r="K29" s="3959" t="n"/>
      <c r="L29" s="3959" t="n"/>
      <c r="M29" s="3957" t="n"/>
      <c r="N29" s="3957" t="n"/>
      <c r="O29" s="3957" t="n">
        <v>5.8</v>
      </c>
      <c r="P29" s="3960" t="n">
        <v>1.36</v>
      </c>
      <c r="Q29" s="3957" t="n"/>
      <c r="R29" s="3957" t="n"/>
      <c r="S29" s="3957" t="n"/>
      <c r="T29" s="624" t="inlineStr">
        <is>
          <t>Overcast, 69F, 94% RH; today high 75F, 0.15in precip, UV max 5.8</t>
        </is>
      </c>
      <c r="U29" s="3956" t="n"/>
      <c r="V29" s="624" t="inlineStr">
        <is>
          <t>25mL x0.2. FC 14.2 (in band 13-15), CC 0.0. Evening-dose validation: 15.3 (6:30PM dose 6/25) -&gt; 14.2 = ~1.1 ppm loss over ~18h (rain/overcast, evening dose skipped all UV). Some rain overnight.</t>
        </is>
      </c>
      <c r="W29" s="3961" t="n"/>
    </row>
    <row r="30">
      <c r="A30" s="3962" t="inlineStr">
        <is>
          <t>2026-06-26</t>
        </is>
      </c>
      <c r="B30" s="3963" t="inlineStr">
        <is>
          <t>12:25</t>
        </is>
      </c>
      <c r="C30" s="3963" t="inlineStr">
        <is>
          <t>NOTE</t>
        </is>
      </c>
      <c r="D30" s="3964" t="n"/>
      <c r="E30" s="3964" t="n"/>
      <c r="F30" s="3964" t="n"/>
      <c r="G30" s="3964" t="n"/>
      <c r="H30" s="3964" t="n"/>
      <c r="I30" s="3965" t="n"/>
      <c r="J30" s="3966" t="n"/>
      <c r="K30" s="3966" t="n"/>
      <c r="L30" s="3966" t="n"/>
      <c r="M30" s="3964" t="n"/>
      <c r="N30" s="3964" t="n"/>
      <c r="O30" s="3964" t="n"/>
      <c r="P30" s="3967" t="n"/>
      <c r="Q30" s="3964" t="n"/>
      <c r="R30" s="3964" t="n"/>
      <c r="S30" s="3964" t="n"/>
      <c r="T30" s="631" t="inlineStr">
        <is>
          <t>Overcast/rain, low UV</t>
        </is>
      </c>
      <c r="U30" s="3963" t="n"/>
      <c r="V30" s="631" t="inlineStr">
        <is>
          <t>NO DOSE today. FC 14.2 well in band on a low-loss rainy day; projected ~13 by next noon, above floor 11. Held chlorine for efficiency (dose.py nominal was 0.25 to top of band).</t>
        </is>
      </c>
      <c r="W30" s="3968" t="n"/>
    </row>
    <row r="31">
      <c r="A31" s="3969" t="inlineStr">
        <is>
          <t>2026-06-27</t>
        </is>
      </c>
      <c r="B31" s="3970" t="inlineStr">
        <is>
          <t>12:35</t>
        </is>
      </c>
      <c r="C31" s="3970" t="inlineStr">
        <is>
          <t>TEST</t>
        </is>
      </c>
      <c r="D31" s="3971" t="n"/>
      <c r="E31" s="3971" t="n">
        <v>10.6</v>
      </c>
      <c r="F31" s="3971" t="n">
        <v>0</v>
      </c>
      <c r="G31" s="3971" t="n">
        <v>3.6</v>
      </c>
      <c r="H31" s="3971" t="n"/>
      <c r="I31" s="3972" t="n"/>
      <c r="J31" s="3973" t="n"/>
      <c r="K31" s="3973" t="n"/>
      <c r="L31" s="3973" t="n"/>
      <c r="M31" s="3971" t="n"/>
      <c r="N31" s="3971" t="n"/>
      <c r="O31" s="3971" t="n">
        <v>5.2</v>
      </c>
      <c r="P31" s="3974" t="n">
        <v>0</v>
      </c>
      <c r="Q31" s="3971" t="n"/>
      <c r="R31" s="3971" t="n"/>
      <c r="S31" s="3971" t="n"/>
      <c r="T31" s="813" t="inlineStr">
        <is>
          <t>Sunny AM (~5 sunshine hrs), clouded over ~12:25; 77-79F</t>
        </is>
      </c>
      <c r="U31" s="3970" t="inlineStr">
        <is>
          <t>2026-06-27_1-3.jpg</t>
        </is>
      </c>
      <c r="V31" s="813" t="inlineStr">
        <is>
          <t>25mL x0.2. FC 10.6 (just below floor 11), CC 0.0. Loss 14.2-&gt;10.6 = ~3.6 ppm/24h = NORMAL sunny-day loss: morning was super sunny (weather.py noon snapshot wrongly read overcast). No demand issue - water clear, no algae, ladder not yet installed. PHOTOS (3): water CLEAR - bottom/steps crisp across deep+shallow, clean blue, no green/algae, waterline clean. Surface streaks = tree-shadow reflections (overcast). Shallow floor near steps shows mild mottling/light patches - reads as liner speckle pattern + lighting, NOT algae; no obvious iron/rust stain visible. For stain tracking, want a straight-down close-up of the suspected spot near returns in even shade (less glare).</t>
        </is>
      </c>
      <c r="W31" s="3975" t="n"/>
    </row>
    <row r="32">
      <c r="A32" s="3983" t="inlineStr">
        <is>
          <t>2026-06-27</t>
        </is>
      </c>
      <c r="B32" s="3984" t="inlineStr">
        <is>
          <t>17:35</t>
        </is>
      </c>
      <c r="C32" s="3984" t="inlineStr">
        <is>
          <t>DOSE</t>
        </is>
      </c>
      <c r="D32" s="3985" t="n"/>
      <c r="E32" s="3985" t="n"/>
      <c r="F32" s="3985" t="n"/>
      <c r="G32" s="3985" t="n"/>
      <c r="H32" s="3985" t="n">
        <v>12.8</v>
      </c>
      <c r="I32" s="3986" t="n"/>
      <c r="J32" s="3987" t="n"/>
      <c r="K32" s="3987" t="n"/>
      <c r="L32" s="3987" t="n"/>
      <c r="M32" s="3985" t="n">
        <v>1.5</v>
      </c>
      <c r="N32" s="3985" t="n">
        <v>12.5</v>
      </c>
      <c r="O32" s="3985" t="n"/>
      <c r="P32" s="3988" t="n"/>
      <c r="Q32" s="3985" t="n"/>
      <c r="R32" s="3985" t="n"/>
      <c r="S32" s="3985" t="n"/>
      <c r="T32" s="827" t="inlineStr">
        <is>
          <t>Overcast, 79F</t>
        </is>
      </c>
      <c r="U32" s="3984" t="n"/>
      <c r="V32" s="827" t="inlineStr">
        <is>
          <t>1.5 gal added 5:35 PM (pool shaded, pump running). Rebuild after FC dipped just below floor; 1.5 gal ~ +5.25 -&gt; ~15.8. Season total 12.5 gal.</t>
        </is>
      </c>
      <c r="W32" s="3989" t="n"/>
    </row>
    <row r="33">
      <c r="A33" s="3955" t="inlineStr">
        <is>
          <t>2026-06-28</t>
        </is>
      </c>
      <c r="B33" s="3956" t="inlineStr">
        <is>
          <t>12:40</t>
        </is>
      </c>
      <c r="C33" s="3956" t="inlineStr">
        <is>
          <t>TEST</t>
        </is>
      </c>
      <c r="D33" s="3957" t="n"/>
      <c r="E33" s="3957" t="n">
        <v>12.8</v>
      </c>
      <c r="F33" s="3957" t="n">
        <v>0.2</v>
      </c>
      <c r="G33" s="3957" t="n">
        <v>3</v>
      </c>
      <c r="H33" s="3957" t="n"/>
      <c r="I33" s="3958" t="n">
        <v>0</v>
      </c>
      <c r="J33" s="3959" t="n"/>
      <c r="K33" s="3959" t="n"/>
      <c r="L33" s="3959" t="n"/>
      <c r="M33" s="3957" t="n"/>
      <c r="N33" s="3957" t="n"/>
      <c r="O33" s="3957" t="n">
        <v>9.300000000000001</v>
      </c>
      <c r="P33" s="3960" t="n">
        <v>0</v>
      </c>
      <c r="Q33" s="3957" t="n"/>
      <c r="R33" s="3957" t="n">
        <v>79</v>
      </c>
      <c r="S33" s="3957" t="n"/>
      <c r="T33" s="624" t="inlineStr">
        <is>
          <t>Sunny day (~9 sun hrs), 75-79F, clouded at midday; UV max 7.5</t>
        </is>
      </c>
      <c r="U33" s="3956" t="inlineStr">
        <is>
          <t>2026-06-28_1-4.jpg</t>
        </is>
      </c>
      <c r="V33" s="624" t="inlineStr">
        <is>
          <t>25mL x0.2. FC 12.8 (in band 13-15), CC 0.2 (trace = 1 drop; was 0.0 - watch). Loss ~3.0 ppm/19h from 6/27 eve dose (~15.8) - normal for a 67%-sun morning. Evening-dose routine holding well. WATER TEMP 79F. PHOTOS(4): water still clear (bottom visible), clean blue, no algae. Scattered debris specks (dirt/organic from landscaping today) on surface+floor + faint plume (stir-up/fresh dose) - cosmetic, filter/skim will clear; brush/vac if it settles. Straight-down near return: normal speckled liner, NO clear iron/rust stain (loose debris on top, not staining). Debris vacuumed + skimmed out same day -&gt; negligible Cl demand expected; treat tomorrow loss as normal.</t>
        </is>
      </c>
      <c r="W33" s="3961" t="n"/>
    </row>
    <row r="34">
      <c r="A34" s="3962" t="inlineStr">
        <is>
          <t>2026-06-28</t>
        </is>
      </c>
      <c r="B34" s="3963" t="inlineStr">
        <is>
          <t>~17:55</t>
        </is>
      </c>
      <c r="C34" s="3963" t="inlineStr">
        <is>
          <t>DOSE</t>
        </is>
      </c>
      <c r="D34" s="3964" t="n"/>
      <c r="E34" s="3964" t="n"/>
      <c r="F34" s="3964" t="n"/>
      <c r="G34" s="3964" t="n"/>
      <c r="H34" s="3964" t="n">
        <v>12.3</v>
      </c>
      <c r="I34" s="3965" t="n"/>
      <c r="J34" s="3966" t="n"/>
      <c r="K34" s="3966" t="n"/>
      <c r="L34" s="3966" t="n"/>
      <c r="M34" s="3964" t="n">
        <v>1</v>
      </c>
      <c r="N34" s="3964" t="n">
        <v>13.5</v>
      </c>
      <c r="O34" s="3964" t="n"/>
      <c r="P34" s="3967" t="n"/>
      <c r="Q34" s="3964" t="n"/>
      <c r="R34" s="3964" t="n"/>
      <c r="S34" s="3964" t="n"/>
      <c r="T34" s="631" t="inlineStr">
        <is>
          <t>Sunny, 75-79F, UV 7.5</t>
        </is>
      </c>
      <c r="U34" s="3963" t="n"/>
      <c r="V34" s="631" t="inlineStr">
        <is>
          <t>1.0 gal added ~5:55 PM (photos timestamped 5:59; pool shaded, pump running). Targets ~15. Season total 13.5 gal.</t>
        </is>
      </c>
      <c r="W34" s="3968" t="n"/>
    </row>
    <row r="35">
      <c r="A35" s="3969" t="inlineStr">
        <is>
          <t>2026-06-29</t>
        </is>
      </c>
      <c r="B35" s="3970" t="inlineStr">
        <is>
          <t>12:10</t>
        </is>
      </c>
      <c r="C35" s="3970" t="inlineStr">
        <is>
          <t>TEST</t>
        </is>
      </c>
      <c r="D35" s="3971" t="n"/>
      <c r="E35" s="3971" t="n">
        <v>14</v>
      </c>
      <c r="F35" s="3971" t="n">
        <v>0.2</v>
      </c>
      <c r="G35" s="3971" t="n">
        <v>2.3</v>
      </c>
      <c r="H35" s="3971" t="n"/>
      <c r="I35" s="3972" t="n">
        <v>1.7</v>
      </c>
      <c r="J35" s="3973" t="n"/>
      <c r="K35" s="3973" t="n"/>
      <c r="L35" s="3973" t="n"/>
      <c r="M35" s="3971" t="n"/>
      <c r="N35" s="3971" t="n"/>
      <c r="O35" s="3971" t="n">
        <v>12.2</v>
      </c>
      <c r="P35" s="3974" t="n">
        <v>0</v>
      </c>
      <c r="Q35" s="3971" t="n"/>
      <c r="R35" s="3971" t="n">
        <v>80</v>
      </c>
      <c r="S35" s="3971" t="n"/>
      <c r="T35" s="813" t="inlineStr">
        <is>
          <t>Very sunny + hot (~12 sun hrs), high 82F, UV 7.8; hot all week</t>
        </is>
      </c>
      <c r="U35" s="3970" t="inlineStr">
        <is>
          <t>2026-06-29_1-4.jpg</t>
        </is>
      </c>
      <c r="V35" s="813" t="inlineStr">
        <is>
          <t>25mL x0.2. FC 14.0 (in band 13-15, near aim), CC 0.2 (trace, holding ~0.2 - not climbing). Loss 2.3 ppm/24h (evening dose dodged afternoon UV). VERY sunny + hot week ahead -&gt; expect high daily UV demand; dose to top of band each evening for buffer, do NOT skip. PHOTOS(4): water clear+healthy (evening), clean blue, no algae, good clarity after dose+fill. Better stairs/return close-up: liner shows normal speckled pattern, NO clear iron/rust stain visible - if present it is subtle/masked. Ascorbic-acid SPOT TEST is the definitive check.</t>
        </is>
      </c>
      <c r="W35" s="3975" t="n"/>
    </row>
    <row r="36">
      <c r="A36" s="3976" t="inlineStr">
        <is>
          <t>2026-06-29</t>
        </is>
      </c>
      <c r="B36" s="3977" t="inlineStr">
        <is>
          <t>18:30</t>
        </is>
      </c>
      <c r="C36" s="3977" t="inlineStr">
        <is>
          <t>DOSE</t>
        </is>
      </c>
      <c r="D36" s="3978" t="n"/>
      <c r="E36" s="3978" t="n"/>
      <c r="F36" s="3978" t="n"/>
      <c r="G36" s="3978" t="n"/>
      <c r="H36" s="3978" t="n">
        <v>14.2</v>
      </c>
      <c r="I36" s="3979" t="n"/>
      <c r="J36" s="3980" t="n"/>
      <c r="K36" s="3980" t="n"/>
      <c r="L36" s="3980" t="n"/>
      <c r="M36" s="3978" t="n">
        <v>1.5</v>
      </c>
      <c r="N36" s="3978" t="n">
        <v>15</v>
      </c>
      <c r="O36" s="3978" t="n"/>
      <c r="P36" s="3981" t="n"/>
      <c r="Q36" s="3978" t="n"/>
      <c r="R36" s="3978" t="n"/>
      <c r="S36" s="3978" t="n"/>
      <c r="T36" s="820" t="inlineStr">
        <is>
          <t>Very sunny, high 82F, UV 7.8</t>
        </is>
      </c>
      <c r="U36" s="3977" t="n"/>
      <c r="V36" s="820" t="inlineStr">
        <is>
          <t>1.5 gal added 6:30 PM (leftover 0.5 + full 1.0 - easier than measuring 0.25). ~ +5.25 -&gt; ~16.5-17 evening; buffer for hot very-sunny day. Projects ~14 next noon. Season total 15.0 gal.</t>
        </is>
      </c>
      <c r="W36" s="3982" t="n"/>
    </row>
    <row r="37">
      <c r="A37" s="3983" t="inlineStr">
        <is>
          <t>2026-06-29</t>
        </is>
      </c>
      <c r="B37" s="3984" t="inlineStr">
        <is>
          <t>evening</t>
        </is>
      </c>
      <c r="C37" s="3984" t="inlineStr">
        <is>
          <t>EVENT - Fill</t>
        </is>
      </c>
      <c r="D37" s="3985" t="n"/>
      <c r="E37" s="3985" t="n"/>
      <c r="F37" s="3985" t="n"/>
      <c r="G37" s="3985" t="n"/>
      <c r="H37" s="3985" t="n"/>
      <c r="I37" s="3986" t="n"/>
      <c r="J37" s="3987" t="n"/>
      <c r="K37" s="3987" t="n"/>
      <c r="L37" s="3987" t="n"/>
      <c r="M37" s="3985" t="n"/>
      <c r="N37" s="3985" t="n"/>
      <c r="O37" s="3985" t="n"/>
      <c r="P37" s="3988" t="n"/>
      <c r="Q37" s="3985" t="n">
        <v>93</v>
      </c>
      <c r="R37" s="3985" t="n"/>
      <c r="S37" s="3985" t="n"/>
      <c r="T37" s="827" t="n"/>
      <c r="U37" s="3984" t="n"/>
      <c r="V37" s="827" t="inlineStr">
        <is>
          <t>Well-water top-off: hose 30 min @ ~3.1 GPM = ~93 gal into 34,400. CYA dilution ~0.3% (~0.4 ppm) - negligible/day, nudges passive CYA lowering. Brings well metals (Fe/Mn) -&gt; sequestrant pending (John checking for metal-out). Week well-water cumulative: ~93 gal.</t>
        </is>
      </c>
      <c r="W37" s="3989" t="n"/>
    </row>
    <row r="38">
      <c r="A38" s="3955" t="inlineStr">
        <is>
          <t>2026-06-30</t>
        </is>
      </c>
      <c r="B38" s="3956" t="inlineStr">
        <is>
          <t>12:15</t>
        </is>
      </c>
      <c r="C38" s="3956" t="inlineStr">
        <is>
          <t>TEST</t>
        </is>
      </c>
      <c r="D38" s="3957" t="n"/>
      <c r="E38" s="3957" t="n">
        <v>14.6</v>
      </c>
      <c r="F38" s="3957" t="n">
        <v>0</v>
      </c>
      <c r="G38" s="3957" t="n">
        <v>4.7</v>
      </c>
      <c r="H38" s="3957" t="n"/>
      <c r="I38" s="3958" t="n">
        <v>0.4</v>
      </c>
      <c r="J38" s="3959" t="n"/>
      <c r="K38" s="3959" t="n"/>
      <c r="L38" s="3959" t="n"/>
      <c r="M38" s="3957" t="n"/>
      <c r="N38" s="3957" t="n"/>
      <c r="O38" s="3957" t="n">
        <v>10.2</v>
      </c>
      <c r="P38" s="3960" t="n">
        <v>0</v>
      </c>
      <c r="Q38" s="3957" t="n"/>
      <c r="R38" s="3957" t="n">
        <v>80.5</v>
      </c>
      <c r="S38" s="3957" t="n"/>
      <c r="T38" s="624" t="inlineStr">
        <is>
          <t>Super sunny + hot, high 84F (~10 sun hrs), UV 7.9</t>
        </is>
      </c>
      <c r="U38" s="3956" t="inlineStr">
        <is>
          <t>2026-06-30_1-4.jpg</t>
        </is>
      </c>
      <c r="V38" s="624" t="inlineStr">
        <is>
          <t>25mL x0.2. FC 14.6 (in band 13-15, near aim), CC 0.0 (the 0.2 trace cleared - higher FC worked). Loss 4.7 ppm/24h - hot very-sunny day; last night's 1.5 gal buffer absorbed it, still in band. Water 80.5F (warming). Hotter today (84F). PHOTOS(4): water clear+healthy (evening), clean blue, no algae, bottom visible; minor surface ripple from fill. No new stain concerns.</t>
        </is>
      </c>
      <c r="W38" s="3961" t="n"/>
    </row>
    <row r="39">
      <c r="A39" s="3990" t="inlineStr">
        <is>
          <t>2026-06-30</t>
        </is>
      </c>
      <c r="B39" s="3991" t="inlineStr">
        <is>
          <t>18:50</t>
        </is>
      </c>
      <c r="C39" s="3991" t="inlineStr">
        <is>
          <t>DOSE</t>
        </is>
      </c>
      <c r="D39" s="3992" t="n"/>
      <c r="E39" s="3992" t="n"/>
      <c r="F39" s="3992" t="n"/>
      <c r="G39" s="3992" t="n"/>
      <c r="H39" s="3992" t="n">
        <v>14.8</v>
      </c>
      <c r="I39" s="3993" t="n"/>
      <c r="J39" s="3994" t="n"/>
      <c r="K39" s="3994" t="n"/>
      <c r="L39" s="3994" t="n"/>
      <c r="M39" s="3992" t="n">
        <v>1.5</v>
      </c>
      <c r="N39" s="3992" t="n">
        <v>16.5</v>
      </c>
      <c r="O39" s="3992" t="n"/>
      <c r="P39" s="3995" t="n"/>
      <c r="Q39" s="3992" t="n"/>
      <c r="R39" s="3992" t="n"/>
      <c r="S39" s="3992" t="n"/>
      <c r="T39" s="659" t="inlineStr">
        <is>
          <t>Super sunny, high 84F, UV 7.9</t>
        </is>
      </c>
      <c r="U39" s="3991" t="n"/>
      <c r="V39" s="659" t="inlineStr">
        <is>
          <t>1.5 gal added 6:50 PM (pump running). ~ +5.25 -&gt; ~16.5-17 evening; buffer for hot sunny stretch. Projects ~12-13 next noon. Season total 16.5 gal.</t>
        </is>
      </c>
      <c r="W39" s="3996" t="n"/>
    </row>
    <row r="40">
      <c r="A40" s="3962" t="inlineStr">
        <is>
          <t>2026-06-30</t>
        </is>
      </c>
      <c r="B40" s="3963" t="inlineStr">
        <is>
          <t>evening</t>
        </is>
      </c>
      <c r="C40" s="3963" t="inlineStr">
        <is>
          <t>EVENT - Fill</t>
        </is>
      </c>
      <c r="D40" s="3964" t="n"/>
      <c r="E40" s="3964" t="n"/>
      <c r="F40" s="3964" t="n"/>
      <c r="G40" s="3964" t="n"/>
      <c r="H40" s="3964" t="n"/>
      <c r="I40" s="3965" t="n"/>
      <c r="J40" s="3966" t="n"/>
      <c r="K40" s="3966" t="n"/>
      <c r="L40" s="3966" t="n"/>
      <c r="M40" s="3964" t="n"/>
      <c r="N40" s="3964" t="n"/>
      <c r="O40" s="3964" t="n"/>
      <c r="P40" s="3967" t="n"/>
      <c r="Q40" s="3964" t="n">
        <v>158</v>
      </c>
      <c r="R40" s="3964" t="n"/>
      <c r="S40" s="3964" t="n"/>
      <c r="T40" s="631" t="n"/>
      <c r="U40" s="3963" t="n"/>
      <c r="V40" s="631" t="inlineStr">
        <is>
          <t>Well-water top-off: hose 51 min @ ~3.1 GPM = ~158 gal into 34,400 (level +~0.32 in / 5/16). CYA dilution ~0.5% (~0.7 ppm). Brings well metals -&gt; sequestrant (Pool Mate Metal Out) to be dosed later. WEEK well-water cumulative: ~251 gal (6/29 93 + 6/30 158).</t>
        </is>
      </c>
      <c r="W40" s="3968" t="n"/>
    </row>
    <row r="41">
      <c r="A41" s="3969" t="inlineStr">
        <is>
          <t>2026-07-01</t>
        </is>
      </c>
      <c r="B41" s="3970" t="inlineStr">
        <is>
          <t>12:10</t>
        </is>
      </c>
      <c r="C41" s="3970" t="inlineStr">
        <is>
          <t>TEST</t>
        </is>
      </c>
      <c r="D41" s="3971" t="n"/>
      <c r="E41" s="3971" t="n">
        <v>14.8</v>
      </c>
      <c r="F41" s="3971" t="n">
        <v>0.2</v>
      </c>
      <c r="G41" s="3971" t="n">
        <v>5.1</v>
      </c>
      <c r="H41" s="3971" t="n"/>
      <c r="I41" s="3972" t="n">
        <v>0</v>
      </c>
      <c r="J41" s="3973" t="n"/>
      <c r="K41" s="3973" t="n"/>
      <c r="L41" s="3973" t="n"/>
      <c r="M41" s="3971" t="n"/>
      <c r="N41" s="3971" t="n"/>
      <c r="O41" s="3971" t="n">
        <v>12</v>
      </c>
      <c r="P41" s="3974" t="n">
        <v>0.47</v>
      </c>
      <c r="Q41" s="3971" t="n"/>
      <c r="R41" s="3971" t="n">
        <v>81</v>
      </c>
      <c r="S41" s="3971" t="n"/>
      <c r="T41" s="813" t="inlineStr">
        <is>
          <t>Clear, 81F, 77% RH; today high 86F, 0.47in precip (early/later, not midday), UV max 7.9</t>
        </is>
      </c>
      <c r="U41" s="3970" t="inlineStr">
        <is>
          <t>2026-07-01_1-3.jpg</t>
        </is>
      </c>
      <c r="V41" s="813" t="inlineStr">
        <is>
          <t>25mL x0.2. FC 14.8 (in band 13-15, at aim), CC 0.2 (trace). FC loss 5.1 ppm/24h (14.6 + 1.5gal dose - 14.8) - hottest/sunniest day yet (high 86F, ~12 sun hrs). Auto weather bucket said 'rain' from accumulated daily precip, but midday conditions are Clear/sunny (83% sun so far) - overrode to sunny bucket for dosing. PHOTOS(3): water clear+healthy (evening ~7:36PM), clean blue, bottom visible, no algae; a couple leaves floating (cosmetic - skimmer/filter clears). ZOOMED stair close-up (best look yet): normal blue speckled liner on the curved steps + decorative border; only minor debris/shadow in step corners; NO clear iron/rust or manganese stain visible - no progression vs prior days. Ascorbic-acid spot test remains the definitive check.</t>
        </is>
      </c>
      <c r="W41" s="3975" t="n"/>
    </row>
    <row r="42">
      <c r="A42" s="3983" t="inlineStr">
        <is>
          <t>2026-07-01</t>
        </is>
      </c>
      <c r="B42" s="3984" t="inlineStr">
        <is>
          <t>19:30</t>
        </is>
      </c>
      <c r="C42" s="3984" t="inlineStr">
        <is>
          <t>DOSE</t>
        </is>
      </c>
      <c r="D42" s="3985" t="n"/>
      <c r="E42" s="3985" t="n"/>
      <c r="F42" s="3985" t="n"/>
      <c r="G42" s="3985" t="n"/>
      <c r="H42" s="3985" t="n">
        <v>15.1</v>
      </c>
      <c r="I42" s="3986" t="n"/>
      <c r="J42" s="3987" t="n"/>
      <c r="K42" s="3987" t="n"/>
      <c r="L42" s="3987" t="n"/>
      <c r="M42" s="3985" t="n">
        <v>1.5</v>
      </c>
      <c r="N42" s="3985" t="n">
        <v>18</v>
      </c>
      <c r="O42" s="3985" t="n"/>
      <c r="P42" s="3988" t="n"/>
      <c r="Q42" s="3985" t="n"/>
      <c r="R42" s="3985" t="n"/>
      <c r="S42" s="3985" t="n"/>
      <c r="T42" s="827" t="inlineStr">
        <is>
          <t>Hot/sunny, high 86F, UV 7.9</t>
        </is>
      </c>
      <c r="U42" s="3984" t="n"/>
      <c r="V42" s="827" t="inlineStr">
        <is>
          <t>1.5 gal added 7:30 PM (pump running; within the 6:30-9:15 window). Calibrated evening-model rec (L24=5.0, hot &amp; sunny: sun 12h, water 81F); ~ +5.25. Held buffer on the hottest/sunniest day yet per no-skip lesson (daytime calc alone said 0). Season total 18.0 gal.</t>
        </is>
      </c>
      <c r="W42" s="3989" t="n"/>
    </row>
    <row r="43">
      <c r="A43" s="3955" t="inlineStr">
        <is>
          <t>2026-07-02</t>
        </is>
      </c>
      <c r="B43" s="3956" t="inlineStr">
        <is>
          <t>12:30</t>
        </is>
      </c>
      <c r="C43" s="3956" t="inlineStr">
        <is>
          <t>TEST</t>
        </is>
      </c>
      <c r="D43" s="3957" t="n"/>
      <c r="E43" s="3957" t="n">
        <v>17.2</v>
      </c>
      <c r="F43" s="3957" t="n">
        <v>0</v>
      </c>
      <c r="G43" s="3957" t="n">
        <v>2.9</v>
      </c>
      <c r="H43" s="3957" t="n"/>
      <c r="I43" s="3958" t="n">
        <v>2.1</v>
      </c>
      <c r="J43" s="3959" t="n"/>
      <c r="K43" s="3959" t="n"/>
      <c r="L43" s="3959" t="n"/>
      <c r="M43" s="3957" t="n"/>
      <c r="N43" s="3957" t="n"/>
      <c r="O43" s="3957" t="n">
        <v>13.2</v>
      </c>
      <c r="P43" s="3960" t="n">
        <v>0</v>
      </c>
      <c r="Q43" s="3957" t="n"/>
      <c r="R43" s="3957" t="n">
        <v>83</v>
      </c>
      <c r="S43" s="3957" t="n"/>
      <c r="T43" s="624" t="inlineStr">
        <is>
          <t>Clear now, 85F, 83% RH; sun so far 5.4h of 7h daylight (76%); today high 92F, 0.00in precip, UV max 7.9</t>
        </is>
      </c>
      <c r="U43" s="3956" t="n"/>
      <c r="V43" s="624" t="inlineStr">
        <is>
          <t>Pred error unusually large (+2.1) vs last night's 15.1 projection, despite a hot/sunny day where loss should run faster, not slower. John also flagged uncertainty about R-0870 powder dosing (dipper is small, gets crusty) -- but powder amount isn't part of the FAS-DPD titration math, so that's an unlikely source. Worth watching next test to see if this was a one-off read or a real trend.</t>
        </is>
      </c>
      <c r="W43" s="3961" t="n"/>
    </row>
    <row r="44">
      <c r="A44" s="3990" t="inlineStr">
        <is>
          <t>2026-07-02</t>
        </is>
      </c>
      <c r="B44" s="3991" t="inlineStr">
        <is>
          <t>19:45</t>
        </is>
      </c>
      <c r="C44" s="3991" t="inlineStr">
        <is>
          <t>TEST</t>
        </is>
      </c>
      <c r="D44" s="3992" t="n"/>
      <c r="E44" s="3992" t="n">
        <v>15.4</v>
      </c>
      <c r="F44" s="3992" t="n">
        <v>0.4</v>
      </c>
      <c r="G44" s="3992" t="n"/>
      <c r="H44" s="3992" t="n"/>
      <c r="I44" s="3993" t="n"/>
      <c r="J44" s="3994" t="n"/>
      <c r="K44" s="3994" t="n"/>
      <c r="L44" s="3994" t="n"/>
      <c r="M44" s="3992" t="n"/>
      <c r="N44" s="3992" t="n"/>
      <c r="O44" s="3992" t="n"/>
      <c r="P44" s="3995" t="n"/>
      <c r="Q44" s="3992" t="n"/>
      <c r="R44" s="3992" t="n"/>
      <c r="S44" s="3992" t="n">
        <v>11.9</v>
      </c>
      <c r="T44" s="659" t="n"/>
      <c r="U44" s="3991" t="inlineStr">
        <is>
          <t>2026-07-02_1.jpeg;2026-07-02_2.jpeg;2026-07-02_3.jpeg;2026-07-02_4.jpeg</t>
        </is>
      </c>
      <c r="V44" s="659" t="inlineStr">
        <is>
          <t>Evening recheck before dosing, requested for peace-of-mind after noon's unexpectedly high FC (17.2) and the R-0870 dosing question. Decline from noon (17.2 -&gt; 15.4 over ~7.25h, pool shaded after ~6:30PM) tracks a plausible hot/sunny-day afternoon loss -- consistent with noon reading being real, not a fluke. CC ticked up slightly (0.0 -&gt; 0.4), normal for end of a hot/high-use day, still low. FC loss/Pred error left blank on this row -- not a comparable 24h noon-to-noon measurement, would corrupt the loss-rate tracking if filled in via the standard formula. PHOTOS(4): wide pool shots both look clear/healthy, clean blue, no algae; zoomed liner-corner close-up shows normal blue speckled texture, no clear rust/stain progression. New this entry: John mounted a graduated ruler to the skimmer faceplate to start tracking water level -- photo documents the ruler installation, no specific level reading called out yet (nothing invented here; will log a real number once John reports one).</t>
        </is>
      </c>
      <c r="W44" s="3996" t="n"/>
    </row>
    <row r="45">
      <c r="A45" s="3990" t="inlineStr">
        <is>
          <t>2026-07-02</t>
        </is>
      </c>
      <c r="B45" s="3991" t="inlineStr">
        <is>
          <t>20:30</t>
        </is>
      </c>
      <c r="C45" s="3991" t="inlineStr">
        <is>
          <t>DOSE</t>
        </is>
      </c>
      <c r="D45" s="3992" t="n"/>
      <c r="E45" s="3992" t="n"/>
      <c r="F45" s="3992" t="n"/>
      <c r="G45" s="3992" t="n"/>
      <c r="H45" s="3992" t="n">
        <v>15.7</v>
      </c>
      <c r="I45" s="3993" t="n"/>
      <c r="J45" s="3994" t="n"/>
      <c r="K45" s="3994" t="n"/>
      <c r="L45" s="3994" t="n"/>
      <c r="M45" s="3992" t="n">
        <v>1</v>
      </c>
      <c r="N45" s="3992" t="n">
        <v>19</v>
      </c>
      <c r="O45" s="3992" t="n"/>
      <c r="P45" s="3995" t="n"/>
      <c r="Q45" s="3992" t="n"/>
      <c r="R45" s="3992" t="n"/>
      <c r="S45" s="3992" t="n"/>
      <c r="T45" s="659" t="inlineStr">
        <is>
          <t>Hot/sunny, high 92F, water 83F, UV 7.9</t>
        </is>
      </c>
      <c r="U45" s="3991" t="n"/>
      <c r="V45" s="659" t="inlineStr">
        <is>
          <t>1.0 gal added 8:30 PM (pump running; within the 6:30-9:15 window, before 10 PM off). Calibrated evening model off today's NOON FC 17.2 (the model's intended anchor), L24=5.0 (hot &amp; sunny: 13.2 sun hrs, water 83F). Raw 0.80 -&gt; rounded 1.0 gal. Evening recheck (15.4 at 7:45 PM) confirmed the noon 17.2 was a real reading, not a fluke -- NOT used as the dose anchor (would double-count the ~1.8 ppm afternoon loss already reflected in it). Season total 19.0 gal. NOTE: this morning's forward prediction missed high (pred 15.1, actual 17.2, +2.1) -&gt; model may be over-estimating loss on hot/sunny days; if tomorrow also lands above the 15.7 projection, consider trimming CONFIG['evening_l24']['l24_hot_sunny'].</t>
        </is>
      </c>
      <c r="W45" s="3996" t="n"/>
    </row>
    <row r="46">
      <c r="A46" s="3962" t="inlineStr">
        <is>
          <t>2026-07-02</t>
        </is>
      </c>
      <c r="B46" s="3963" t="inlineStr">
        <is>
          <t>night</t>
        </is>
      </c>
      <c r="C46" s="3963" t="inlineStr">
        <is>
          <t>EVENT - Clean</t>
        </is>
      </c>
      <c r="D46" s="3964" t="n"/>
      <c r="E46" s="3964" t="n"/>
      <c r="F46" s="3964" t="n"/>
      <c r="G46" s="3964" t="n"/>
      <c r="H46" s="3964" t="n"/>
      <c r="I46" s="3965" t="n"/>
      <c r="J46" s="3966" t="n"/>
      <c r="K46" s="3966" t="n"/>
      <c r="L46" s="3966" t="n"/>
      <c r="M46" s="3964" t="n"/>
      <c r="N46" s="3964" t="n"/>
      <c r="O46" s="3964" t="n"/>
      <c r="P46" s="3967" t="n"/>
      <c r="Q46" s="3964" t="n"/>
      <c r="R46" s="3964" t="n"/>
      <c r="S46" s="3964" t="n"/>
      <c r="T46" s="631" t="n"/>
      <c r="U46" s="3963" t="n"/>
      <c r="V46" s="631" t="inlineStr">
        <is>
          <t>Magic Eraser (melamine foam) cleaning of the vinyl liner ALL THE WAY AROUND, above the waterline. Reported 2026-07-03 as a likely contributor to the CC creep (0.0 -&gt; 0.4 -&gt; 0.6). Chemistry: melamine is very nitrogen-rich (a triazine triamine, ~66% N), so shed foam micro-particles PLUS the scrubbed-off waterline scum/oils are both nitrogen/organic load that free chlorine converts to chloramines (= combined chlorine). One-time event -&gt; expect CC to fall over the next day or two as FC oxidizes it and the filter clears the bits. Watch: if CC keeps RISING past ~1.0 despite high FC and no more cleaning, look further (this + the floating surface debris are the two benign explanations).</t>
        </is>
      </c>
      <c r="W46" s="3968" t="n"/>
    </row>
    <row r="47">
      <c r="A47" s="3969" t="inlineStr">
        <is>
          <t>2026-07-03</t>
        </is>
      </c>
      <c r="B47" s="3970" t="inlineStr">
        <is>
          <t>12:15</t>
        </is>
      </c>
      <c r="C47" s="3970" t="inlineStr">
        <is>
          <t>TEST</t>
        </is>
      </c>
      <c r="D47" s="3971" t="n"/>
      <c r="E47" s="3971" t="n">
        <v>16.6</v>
      </c>
      <c r="F47" s="3971" t="n">
        <v>0.6</v>
      </c>
      <c r="G47" s="3971" t="n">
        <v>4.1</v>
      </c>
      <c r="H47" s="3971" t="n"/>
      <c r="I47" s="3972" t="n">
        <v>0.9</v>
      </c>
      <c r="J47" s="3973" t="n"/>
      <c r="K47" s="3973" t="n"/>
      <c r="L47" s="3973" t="n"/>
      <c r="M47" s="3971" t="n"/>
      <c r="N47" s="3971" t="n"/>
      <c r="O47" s="3971" t="n">
        <v>13.2</v>
      </c>
      <c r="P47" s="3974" t="n">
        <v>0</v>
      </c>
      <c r="Q47" s="3971" t="n"/>
      <c r="R47" s="3971" t="n">
        <v>84.5</v>
      </c>
      <c r="S47" s="3971" t="n">
        <v>11.8</v>
      </c>
      <c r="T47" s="813" t="inlineStr">
        <is>
          <t>Clear now, 89F, 64% RH; sun so far 6.4h of 7h daylight (92%); today high 94F, 0.00in precip, UV max 7.8</t>
        </is>
      </c>
      <c r="U47" s="3970" t="inlineStr">
        <is>
          <t>2026-07-03_1.jpeg;2026-07-03_2.jpeg;2026-07-03_3.jpeg;2026-07-03_4.jpeg;2026-07-03_5.jpeg</t>
        </is>
      </c>
      <c r="V47" s="813" t="inlineStr">
        <is>
          <t>25mL x0.2. FC 16.6, CC 0.6. (John wrote 'CC=16.6' but that's FC; a 16.6 combined chlorine is implausible -- logged as FC.) FC loss 4.1 ppm/24h = 17.2 (7/2 NOON) + 1.0gal x3.5 - 16.6, computed noon-to-noon; NOT the 2.3 daily_calc.py reported (it used the 7/2 evening recheck 15.4 as baseline -&gt; ~16.5h window, non-comparable). WATCH: CC creeping 0.0 -&gt; 0.4 -&gt; 0.6 over ~24h; still a trace, and higher FC should oxidize it away, but note the direction -- flag if it climbs past ~1.0. Pred error +0.9 (actual 16.6 vs 7/2 dose's 15.7 projection): model over-predicted loss again but by less than 7/2's +2.1 -- two straight hot/sunny days where real loss ran under the L24=5.0 estimate; watch a 3rd before nudging dose.py's l24_hot_sunny down. Water level 11.8 cm (was 11.9 on 7/2; -0.1 within ruler/reading noise, ruler adhesion still iffy). Hot day: high 94F, water 84.5F, ~13 sun hrs.</t>
        </is>
      </c>
      <c r="W47" s="3975" t="n"/>
    </row>
    <row r="48">
      <c r="A48" s="3983" t="inlineStr">
        <is>
          <t>2026-07-03</t>
        </is>
      </c>
      <c r="B48" s="3984" t="inlineStr">
        <is>
          <t>19:45</t>
        </is>
      </c>
      <c r="C48" s="3984" t="inlineStr">
        <is>
          <t>DOSE</t>
        </is>
      </c>
      <c r="D48" s="3985" t="n"/>
      <c r="E48" s="3985" t="n"/>
      <c r="F48" s="3985" t="n"/>
      <c r="G48" s="3985" t="n"/>
      <c r="H48" s="3985" t="n">
        <v>15.1</v>
      </c>
      <c r="I48" s="3986" t="n"/>
      <c r="J48" s="3987" t="n"/>
      <c r="K48" s="3987" t="n"/>
      <c r="L48" s="3987" t="n"/>
      <c r="M48" s="3985" t="n">
        <v>1</v>
      </c>
      <c r="N48" s="3985" t="n">
        <v>20</v>
      </c>
      <c r="O48" s="3985" t="n"/>
      <c r="P48" s="3988" t="n"/>
      <c r="Q48" s="3985" t="n"/>
      <c r="R48" s="3985" t="n"/>
      <c r="S48" s="3985" t="n"/>
      <c r="T48" s="827" t="inlineStr">
        <is>
          <t>Hot/sunny, high 94F, water 84.5F, UV 7.8</t>
        </is>
      </c>
      <c r="U48" s="3984" t="n"/>
      <c r="V48" s="827" t="inlineStr">
        <is>
          <t>1.0 gal added 7:45 PM (pump running; within the 6:30-9:15 window, before 10 PM off). Calibrated evening model off today's noon FC 16.6, L24=5.0 (hot &amp; sunny: 13.2 sun hrs, water 84.5F). Kept the full gallon despite FC already at 16.6 -- the CC creep (0.0-&gt;0.4-&gt;0.6) wants FC held up to oxidize it. Season total 20.0 gal. PHOTOS(5): water clear/healthy blue in all wide shots, bottom fully visible, no cloudiness or algae; liner step close-up shows normal speckled blue, NO rust/stain progression. NOTABLE: one surface shot shows scattered floating debris (small leaves/organic bits) -- likely the source of the CC creep (organic load -&gt; chloramines as FC oxidizes it). Recommend skimming/netting it out; higher FC should clear the CC. Ruler photo documents the 11.8 cm level. Model note: this dose's prediction (15.1) is the forward-validation target for 7/4 noon; if it lands high again (&gt;15.1) that's a 3rd hot-day over-prediction -&gt; nudge l24_hot_sunny toward ~4.5.</t>
        </is>
      </c>
      <c r="W48" s="3989" t="n"/>
    </row>
    <row r="49">
      <c r="A49" s="3955" t="inlineStr">
        <is>
          <t>2026-07-04</t>
        </is>
      </c>
      <c r="B49" s="3956" t="inlineStr">
        <is>
          <t>12:40</t>
        </is>
      </c>
      <c r="C49" s="3956" t="inlineStr">
        <is>
          <t>TEST</t>
        </is>
      </c>
      <c r="D49" s="3957" t="n"/>
      <c r="E49" s="3957" t="n">
        <v>16.8</v>
      </c>
      <c r="F49" s="3957" t="n">
        <v>0.2</v>
      </c>
      <c r="G49" s="3957" t="n">
        <v>3.3</v>
      </c>
      <c r="H49" s="3957" t="n"/>
      <c r="I49" s="3958" t="n">
        <v>1.7</v>
      </c>
      <c r="J49" s="3959" t="n"/>
      <c r="K49" s="3959" t="n"/>
      <c r="L49" s="3959" t="n"/>
      <c r="M49" s="3957" t="n"/>
      <c r="N49" s="3957" t="n"/>
      <c r="O49" s="3957" t="n">
        <v>13</v>
      </c>
      <c r="P49" s="3960" t="n">
        <v>0.87</v>
      </c>
      <c r="Q49" s="3957" t="n"/>
      <c r="R49" s="3957" t="n">
        <v>86</v>
      </c>
      <c r="S49" s="3957" t="n">
        <v>11.65</v>
      </c>
      <c r="T49" s="624" t="inlineStr">
        <is>
          <t>Clear now, 88F, 67% RH; sun so far 6.4h of 7h daylight (91%); today high 90F, 0.87in precip, UV max 7.9</t>
        </is>
      </c>
      <c r="U49" s="3956" t="inlineStr">
        <is>
          <t>2026-07-04_1.jpeg;2026-07-04_2.jpeg;2026-07-04_3.jpeg;2026-07-04_4.jpeg</t>
        </is>
      </c>
      <c r="V49" s="624" t="inlineStr">
        <is>
          <t>25mL x0.2. FC 16.8, CC 0.2. CC CREEP CLEARED: 0.0-&gt;0.4-&gt;0.6-&gt;0.2 -- confirms the benign explanation (floating debris + 7/2 Magic Eraser residue), oxidized away by the high FC. Auto weather bucket said 'rain' (0.87in daily precip, likely the incoming 7/6 system's leading edge) but midday was clearly sunny (91% sun so far) -&gt; overrode to sunny for the loss model. fc_loss 3.3 ppm/24h (16.6 + 1.0gal x3.5 - 16.8), clean noon-to-noon (no recheck yesterday). PREDICTION RESOLVED: pred error +1.7 (actual 16.8 vs 7/3 dose's 15.1) = THIRD straight hot-day over-prediction (+2.1, +0.9, +1.7); the clean case -- landed high DESPITE today's extra CC-clearing demand. Actual hot-day losses ran ~2.9/4.1/3.3 (avg ~3.4), not the modeled 5.0. -&gt; Recalibrated dose.py l24_hot_sunny 5.0-&gt;4.0 (small cushion above the 3.4 mean). Water level 11.65 cm (11.9-&gt;11.8-&gt;11.65: steady slow evaporation decline over 3 hot dry days, ~0.1/day; the 7/6 rain will reverse it). PARTY PREP (Sun 7/5 1PM): recommending only 0.5 gal tonight -- FC already high at 16.8 and tomorrow's cooler/drizzly, so a full gal would overshoot into the high teens (John: don't go overboard). 0.5 gal -&gt; ~15-16 at party = comfortable top-of-band with cushion for bather load, not overboard.</t>
        </is>
      </c>
      <c r="W49" s="3961" t="inlineStr">
        <is>
          <t>quiet</t>
        </is>
      </c>
    </row>
    <row r="50">
      <c r="A50" s="3962" t="inlineStr">
        <is>
          <t>2026-07-04</t>
        </is>
      </c>
      <c r="B50" s="3963" t="inlineStr">
        <is>
          <t>19:40</t>
        </is>
      </c>
      <c r="C50" s="3963" t="inlineStr">
        <is>
          <t>DOSE</t>
        </is>
      </c>
      <c r="D50" s="3964" t="n"/>
      <c r="E50" s="3964" t="n"/>
      <c r="F50" s="3964" t="n"/>
      <c r="G50" s="3964" t="n"/>
      <c r="H50" s="3964" t="n">
        <v>14.6</v>
      </c>
      <c r="I50" s="3965" t="n"/>
      <c r="J50" s="3966" t="n"/>
      <c r="K50" s="3966" t="n"/>
      <c r="L50" s="3966" t="n"/>
      <c r="M50" s="3964" t="n">
        <v>0.5</v>
      </c>
      <c r="N50" s="3964" t="n">
        <v>20.5</v>
      </c>
      <c r="O50" s="3964" t="n"/>
      <c r="P50" s="3967" t="n"/>
      <c r="Q50" s="3964" t="n"/>
      <c r="R50" s="3964" t="n"/>
      <c r="S50" s="3964" t="n"/>
      <c r="T50" s="631" t="inlineStr">
        <is>
          <t>Hot/sunny day (high 90F, water 86F); storm forecast overnight</t>
        </is>
      </c>
      <c r="U50" s="3963" t="n"/>
      <c r="V50" s="631" t="inlineStr">
        <is>
          <t>0.5 gal added 7:40 PM. PARTY PRE-LOAD (Sun 7/5 1PM picnic): deliberately HALF the usual dose -- FC already high at 16.8, and John didn't want to overshoot into the high teens for guests. Sized on the retuned model (l24_hot_sunny now 4.0). Model projects ~14.6 next noon, BUT this is a known weather-mismatch case: model keys L24 off today's hot/sunny weather, while the actual loss window is a storm overnight (no UV) + cooler/cloudy Sun morning -&gt; real loss will be LOWER, so FC likely lands ~15-16 at the party (comfortable top-of-band, cushion for bather load, not overboard). =&gt; If tomorrow's noon comes in ABOVE 14.6, that's the weather mismatch, NOT the freshly-retuned constant; don't chase it. Plan: dose back up Sun evening after the crowd's out (expect a bather-load FC drop). Season total 20.5 gal. PHOTOS(4): water clear/healthy blue, bottom fully visible, no cloudiness/algae; yesterday's surface debris now gone (tracks with CC clearing to 0.2); liner step close-up normal speckled blue, no rust/stain progression. Ruler photo documents the ~11.65 cm level.</t>
        </is>
      </c>
      <c r="W50" s="3968" t="n"/>
    </row>
    <row r="51">
      <c r="A51" s="3969" t="inlineStr">
        <is>
          <t>2026-07-05</t>
        </is>
      </c>
      <c r="B51" s="3970" t="inlineStr">
        <is>
          <t>07:45</t>
        </is>
      </c>
      <c r="C51" s="3970" t="inlineStr">
        <is>
          <t>TEST</t>
        </is>
      </c>
      <c r="D51" s="3971" t="n"/>
      <c r="E51" s="3971" t="n">
        <v>16</v>
      </c>
      <c r="F51" s="3971" t="n">
        <v>0.5</v>
      </c>
      <c r="G51" s="3971" t="n"/>
      <c r="H51" s="3971" t="n"/>
      <c r="I51" s="3972" t="n">
        <v>1.4</v>
      </c>
      <c r="J51" s="3973" t="n"/>
      <c r="K51" s="3973" t="n"/>
      <c r="L51" s="3973" t="n"/>
      <c r="M51" s="3971" t="n"/>
      <c r="N51" s="3971" t="n"/>
      <c r="O51" s="3971" t="n"/>
      <c r="P51" s="3974" t="n">
        <v>0.04</v>
      </c>
      <c r="Q51" s="3971" t="n"/>
      <c r="R51" s="3971" t="n">
        <v>84</v>
      </c>
      <c r="S51" s="3971" t="n">
        <v>13.9</v>
      </c>
      <c r="T51" s="813" t="inlineStr">
        <is>
          <t>Overcast now, 75F, 90% RH; sun so far 0.0h of 3h daylight (0%); today high 75F, 0.04in precip, UV max 6.5</t>
        </is>
      </c>
      <c r="U51" s="3970" t="inlineStr">
        <is>
          <t>2026-07-05_2.jpeg</t>
        </is>
      </c>
      <c r="V51" s="813" t="inlineStr">
        <is>
          <t>25mL x0.2. Early test (7:45 AM, party day 1PM, John busy) -- off the usual noon cadence, fine. PARTY CALL: FC 16.0 is great; NO morning top-up needed (plan only called for one 'if FC slipped' -- it didn't). Cloudy/cool day (75F, 0 sun) means it'll hold through the party. WEATHER-MISMATCH CONFIRMED (as flagged on last night's dose): 7/4 dose predicted 14.6 for today assuming hot/sunny loss, but today is overcast/cool -&gt; FC ran high at 16.0 (pred error +1.4). This is the weather mismatch, NOT the freshly-retuned l24_hot_sunny=4.0; the constant still gets validated by future clean HOT-day noon readings (mid-week, after Mon rain). fc_loss left blank: off-cadence (~19h not 24h), 0.5gal dose in between, plus rain dilution -&gt; non-comparable. WATER LEVEL 11.65 -&gt; 13.9 (+2.25 cm) from the overnight storm (~0.9in rain, ~445 gal) -- ruler tracked the storm perfectly. CC ticked 0.2 -&gt; 0.5 (rain-driven organic/N load washed in by the storm; still a trace, high FC clears it -- not a party concern). Water temp 86 -&gt; 84 (cool front). NOTE: the BIG rain is still Mon 7/6 (~5.7in) -&gt; watch for overflow then, possible backwash-down after (bonus CYA lowering).</t>
        </is>
      </c>
      <c r="W51" s="3975" t="inlineStr">
        <is>
          <t>quiet</t>
        </is>
      </c>
    </row>
    <row r="52">
      <c r="A52" s="3976" t="inlineStr">
        <is>
          <t>2026-07-05</t>
        </is>
      </c>
      <c r="B52" s="3977" t="inlineStr">
        <is>
          <t>18:30</t>
        </is>
      </c>
      <c r="C52" s="3977" t="inlineStr">
        <is>
          <t>TEST</t>
        </is>
      </c>
      <c r="D52" s="3978" t="n"/>
      <c r="E52" s="3978" t="n">
        <v>14.8</v>
      </c>
      <c r="F52" s="3978" t="n">
        <v>0.3</v>
      </c>
      <c r="G52" s="3978" t="n"/>
      <c r="H52" s="3978" t="n"/>
      <c r="I52" s="3979" t="n"/>
      <c r="J52" s="3980" t="n"/>
      <c r="K52" s="3980" t="n"/>
      <c r="L52" s="3980" t="n"/>
      <c r="M52" s="3978" t="n"/>
      <c r="N52" s="3978" t="n"/>
      <c r="O52" s="3978" t="n"/>
      <c r="P52" s="3981" t="n"/>
      <c r="Q52" s="3978" t="n"/>
      <c r="R52" s="3978" t="n"/>
      <c r="S52" s="3978" t="n">
        <v>13.6</v>
      </c>
      <c r="T52" s="820" t="inlineStr">
        <is>
          <t>Overcast now, 72F, 76% RH; sun so far 8.4h of 13h daylight (65%); today high 80F, 0.00in precip, UV max 6.0</t>
        </is>
      </c>
      <c r="U52" s="3977" t="inlineStr">
        <is>
          <t>2026-07-05_1.jpeg;2026-07-05_3.jpeg</t>
        </is>
      </c>
      <c r="V52" s="820" t="inlineStr">
        <is>
          <t>Post-party evening test (2nd test of the day; morning 7:45AM was 16.0). PARTY OUTCOME -- EXCELLENT: FC 16.0(AM) -&gt; 14.8(now), only -1.2 ppm across the whole party (landed right at aim 15); CC 0.5 -&gt; 0.3, i.e. CC DROPPED even after a crowd -- the high FC oxidized bather-load chloramines faster than they formed. The pre-load-modestly strategy worked perfectly (didn't overshoot, didn't crash). PHOTOS(2): wide shot shows crystal-clear water, bottom fully visible, no cloudiness/debris/algae -- pool sailed through. Evening dose recommended 0.5 gal, sized on TOMORROW's rainy forecast (the real loss window: wet/overcast 7/6, ~0.9in rain, low UV) rather than today's sun -&gt; projects ~15.1 at Mon noon. (Day actually cleared to 8.4 sun hrs vs the overcast 7:45AM read.) fc_loss/pred_error blank: off-cadence 2nd test; the 7/4 dose's prediction was already scored against this morning's reading. No water level/temp reported this eve -- ruler photo taken (2026-07-05_2) but no number given; will log if John reads it off.</t>
        </is>
      </c>
      <c r="W52" s="3982" t="n"/>
    </row>
    <row r="53">
      <c r="A53" s="3983" t="inlineStr">
        <is>
          <t>2026-07-05</t>
        </is>
      </c>
      <c r="B53" s="3984" t="inlineStr">
        <is>
          <t>19:25</t>
        </is>
      </c>
      <c r="C53" s="3984" t="inlineStr">
        <is>
          <t>DOSE</t>
        </is>
      </c>
      <c r="D53" s="3985" t="n"/>
      <c r="E53" s="3985" t="n"/>
      <c r="F53" s="3985" t="n"/>
      <c r="G53" s="3985" t="n"/>
      <c r="H53" s="3985" t="n">
        <v>15.1</v>
      </c>
      <c r="I53" s="3986" t="n"/>
      <c r="J53" s="3987" t="n"/>
      <c r="K53" s="3987" t="n"/>
      <c r="L53" s="3987" t="n"/>
      <c r="M53" s="3985" t="n">
        <v>0.5</v>
      </c>
      <c r="N53" s="3985" t="n">
        <v>21</v>
      </c>
      <c r="O53" s="3985" t="n"/>
      <c r="P53" s="3988" t="n"/>
      <c r="Q53" s="3985" t="n"/>
      <c r="R53" s="3985" t="n"/>
      <c r="S53" s="3985" t="n"/>
      <c r="T53" s="827" t="inlineStr">
        <is>
          <t>Cleared to partly sunny (8.4 sun hrs, high 80F, water 84F); all-day rain forecast Mon 7/6</t>
        </is>
      </c>
      <c r="U53" s="3984" t="n"/>
      <c r="V53" s="827" t="inlineStr">
        <is>
          <t>0.5 gal added 7:25 PM (post-party recovery dose). Sized on TOMORROW's rainy forecast (the real loss window: overcast/wet 7/6, ~0.9in rain, low UV) not today's sun -&gt; projects ~15.1 at Mon noon. Party went great (FC held 16.0-&gt;14.8, CC dropped 0.5-&gt;0.3). Season total 21.0 gal. This is the first prediction that deliberately used the next-day forecast for L24 instead of the model's default (today's weather as proxy) -- if it lands near 15.1 tomorrow, that validates feeding the forecast on weather-change days.</t>
        </is>
      </c>
      <c r="W53" s="3989" t="n"/>
    </row>
    <row r="54">
      <c r="A54" s="3955" t="inlineStr">
        <is>
          <t>2026-07-06</t>
        </is>
      </c>
      <c r="B54" s="3956" t="inlineStr">
        <is>
          <t>11:40</t>
        </is>
      </c>
      <c r="C54" s="3956" t="inlineStr">
        <is>
          <t>TEST</t>
        </is>
      </c>
      <c r="D54" s="3957" t="n"/>
      <c r="E54" s="3957" t="n">
        <v>13.8</v>
      </c>
      <c r="F54" s="3957" t="n">
        <v>0.2</v>
      </c>
      <c r="G54" s="3957" t="n"/>
      <c r="H54" s="3957" t="n"/>
      <c r="I54" s="3958" t="n">
        <v>-1.3</v>
      </c>
      <c r="J54" s="3959" t="n"/>
      <c r="K54" s="3959" t="n"/>
      <c r="L54" s="3959" t="n"/>
      <c r="M54" s="3957" t="n"/>
      <c r="N54" s="3957" t="n"/>
      <c r="O54" s="3957" t="n">
        <v>0</v>
      </c>
      <c r="P54" s="3960" t="n">
        <v>2</v>
      </c>
      <c r="Q54" s="3957" t="n"/>
      <c r="R54" s="3957" t="n">
        <v>81</v>
      </c>
      <c r="S54" s="3957" t="n">
        <v>15.1</v>
      </c>
      <c r="T54" s="624" t="inlineStr">
        <is>
          <t>Light rain now, 65F, 93% RH; sun so far 0.0h of 6h daylight (0%); today high 68F, 2.00in precip, UV max 0.5</t>
        </is>
      </c>
      <c r="U54" s="3956" t="inlineStr">
        <is>
          <t>2026-07-06_1.jpeg</t>
        </is>
      </c>
      <c r="V54" s="624" t="inlineStr">
        <is>
          <t>25mL x0.2. FC 13.8, CC 0.2 -- in band, healthy. [CORRECTED same day: earlier note wrongly said OVERFLOWING -- it is NOT. Pool has 6+ in of freeboard. The weather feed 2.00in is the DAY forecast total, not fallen-yet; only ~0.6in has actually fallen this AM, which matches the 0.6in / 1.5cm level rise 13.6-&gt;15.1. No water over the edge.] FIRST NEGATIVE prediction error (-1.3): actual 13.8 vs the 7/5 dose 15.1 (rain bucket L24=1.5) -&gt; model UNDER-estimated loss. Likely cause: STORM since last night (not calm rain) washes organic load in (debris/runoff/nitrogen) that consumes FC -- real loss ~2.75 from the post-dose ~16.5 vs the calm-rain 1.5 estimate. Dilution only a minor part (~0.15 ppm from 0.6in add). The rain bucket is tuned for drizzle, not a storm; FIRST storm forward point -&gt; note storms lose more, but do NOT retune off one point. CYA: modest rain dilution (~0.9%) nudges it down ~1-2 ppm (NOT the big overflow-driven drop I wrongly claimed). fc_loss BLANK: off-cadence prior test (7/5 had AM+PM) + dilution -&gt; not a clean noon-to-noon value. Level 15.1 (well below overflow). Water temp 81. DOSE REC revised: a modest 0.5 gal tonight is reasonable -- the storm is actively eating FC and there is no overflow to waste it, so hold the buffer above floor; keep it small (John was low on TEST REAGENTS (arrived 7/6), NOT chlorine -- corrected).</t>
        </is>
      </c>
      <c r="W54" s="3961" t="inlineStr">
        <is>
          <t>party</t>
        </is>
      </c>
    </row>
    <row r="55">
      <c r="A55" s="3990" t="inlineStr">
        <is>
          <t>2026-07-06</t>
        </is>
      </c>
      <c r="B55" s="3991" t="inlineStr">
        <is>
          <t>19:15</t>
        </is>
      </c>
      <c r="C55" s="3991" t="inlineStr">
        <is>
          <t>EVENT - Waste</t>
        </is>
      </c>
      <c r="D55" s="3992" t="n"/>
      <c r="E55" s="3992" t="n"/>
      <c r="F55" s="3992" t="n"/>
      <c r="G55" s="3992" t="n"/>
      <c r="H55" s="3992" t="n"/>
      <c r="I55" s="3993" t="n"/>
      <c r="J55" s="3994" t="n"/>
      <c r="K55" s="3994" t="n"/>
      <c r="L55" s="3994" t="n"/>
      <c r="M55" s="3992" t="n"/>
      <c r="N55" s="3992" t="n"/>
      <c r="O55" s="3992" t="n"/>
      <c r="P55" s="3995" t="n"/>
      <c r="Q55" s="3992" t="n"/>
      <c r="R55" s="3992" t="n"/>
      <c r="S55" s="3992" t="n"/>
      <c r="T55" s="659" t="n"/>
      <c r="U55" s="3991" t="inlineStr">
        <is>
          <t>2026-07-06_2.jpeg;2026-07-06_3.jpeg</t>
        </is>
      </c>
      <c r="V55" s="659" t="inlineStr">
        <is>
          <t>Pumped to WASTE (multiport waste port, bypassing the D.E. filter) to lower the storm-raised level. The all-day rain had pushed the water ABOVE the ruler top (~16-17 cm, off-scale); pumped it back down to a readable 15.1 cm. Ran the pump while it was still raining -- pump-out (~50 GPM = ~3000 gal/hr) hugely outpaces rain-in (~100-300 gal/hr), so the level dropped steadily despite the rain. ESTIMATED WATER REMOVED ~2,000 gal (VERY ROUGH -- from oblique ruler/liner photos 2026-07-06_2/_3; drop from ~top-of-blue-liner high point down to 15.1 looks like ~4 in, x ~500 gal/in; could easily be 1,500-3,000. Pump-runtime x ~50 GPM would pin it better -- John didn't report the minutes). Consistent with the passive CYA-lowering plan: removes some high-CYA pool water, and rain is refilling it (no well stress). More rain forecast Tue 7/7 -&gt; may need to repeat; drew it toward the low end to leave headroom.</t>
        </is>
      </c>
      <c r="W55" s="3996" t="n"/>
    </row>
    <row r="56">
      <c r="A56" s="3962" t="inlineStr">
        <is>
          <t>2026-07-06</t>
        </is>
      </c>
      <c r="B56" s="3963" t="inlineStr">
        <is>
          <t>19:30</t>
        </is>
      </c>
      <c r="C56" s="3963" t="inlineStr">
        <is>
          <t>DOSE</t>
        </is>
      </c>
      <c r="D56" s="3964" t="n"/>
      <c r="E56" s="3964" t="n"/>
      <c r="F56" s="3964" t="n"/>
      <c r="G56" s="3964" t="n"/>
      <c r="H56" s="3964" t="n">
        <v>14</v>
      </c>
      <c r="I56" s="3965" t="n"/>
      <c r="J56" s="3966" t="n"/>
      <c r="K56" s="3966" t="n"/>
      <c r="L56" s="3966" t="n"/>
      <c r="M56" s="3964" t="n">
        <v>1</v>
      </c>
      <c r="N56" s="3964" t="n">
        <v>22</v>
      </c>
      <c r="O56" s="3964" t="n"/>
      <c r="P56" s="3967" t="n"/>
      <c r="Q56" s="3964" t="n"/>
      <c r="R56" s="3964" t="n"/>
      <c r="S56" s="3964" t="n"/>
      <c r="T56" s="631" t="inlineStr">
        <is>
          <t>Rain all day (2.00in total), overcast, 65-68F; more rain Tue</t>
        </is>
      </c>
      <c r="U56" s="3963" t="n"/>
      <c r="V56" s="631" t="inlineStr">
        <is>
          <t>1.0 gal added 7:30 PM, AFTER the pump-to-waste (correct order -- don't chlorinate water you're about to pump out). FIRST dose on the recalibrated buckets (rain L24 now 2.5 vs old 1.5). CORRECTION carried in: John is NOT low on chlorine -- he was low on TEST REAGENTS, which arrived today -- so this is the full 1 gal (not the 0.5 I'd wrongly trimmed for 'conservation'). Base FC ~13 est (noon 13.8 minus the bit of FC removed by the pump-out; not re-tested), + 1gal x3.5 - 2.5 rain loss -&gt; pred ~14.0 at Tue noon. Prediction is confounded this round (pump perturbation + no post-empty FC test) -&gt; tomorrow's error will be noisy, don't read too much into it for bucket validation. Season total 22.0 gal.</t>
        </is>
      </c>
      <c r="W56" s="3968" t="n"/>
    </row>
    <row r="57">
      <c r="A57" s="3969" t="inlineStr">
        <is>
          <t>2026-07-07</t>
        </is>
      </c>
      <c r="B57" s="3970" t="inlineStr">
        <is>
          <t>11:50</t>
        </is>
      </c>
      <c r="C57" s="3970" t="inlineStr">
        <is>
          <t>TEST</t>
        </is>
      </c>
      <c r="D57" s="3971" t="n"/>
      <c r="E57" s="3971" t="n">
        <v>14.6</v>
      </c>
      <c r="F57" s="3971" t="n">
        <v>0.8</v>
      </c>
      <c r="G57" s="3971" t="n"/>
      <c r="H57" s="3971" t="n"/>
      <c r="I57" s="3972" t="n">
        <v>0.6</v>
      </c>
      <c r="J57" s="3973" t="n"/>
      <c r="K57" s="3973" t="n"/>
      <c r="L57" s="3973" t="n"/>
      <c r="M57" s="3971" t="n"/>
      <c r="N57" s="3971" t="n"/>
      <c r="O57" s="3971" t="n">
        <v>0</v>
      </c>
      <c r="P57" s="3974" t="n"/>
      <c r="Q57" s="3971" t="n"/>
      <c r="R57" s="3971" t="n">
        <v>76</v>
      </c>
      <c r="S57" s="3971" t="n">
        <v>15.5</v>
      </c>
      <c r="T57" s="813" t="inlineStr">
        <is>
          <t>Overcast now, 66F, 91% RH; sun so far 0.0h of 6h daylight (0%); today high 69F, 0.00in precip, UV max 1.4</t>
        </is>
      </c>
      <c r="U57" s="3970" t="inlineStr">
        <is>
          <t>2026-07-07_1.jpeg</t>
        </is>
      </c>
      <c r="V57" s="813" t="inlineStr">
        <is>
          <t>25mL x0.2. FC 14.6, CC 0.8 -- in band, healthy (FC/CYA 9.7%, comfortably above the ~7.5% min). PREDICTION: pred error +0.6 (actual 14.6 vs 7/6 dose's 14.0) -- FIRST noon on the recalibrated rain bucket (L24 2.5, up from old 1.5). Small miss, lost slightly LESS than modeled. CONFOUNDED though: yesterday's pump-to-waste removed chlorinated water + rain dilution, and the dose base FC was ESTIMATED ~13 (not re-tested post-empty) -- so do NOT retune off this single point. Directionally encouraging vs 7/6's -1.3 on the old 1.5 bucket (narrowing moved the rainy-day error from -1.3 toward 0). CC UP 0.2 -&gt; 0.8: two days of storm runoff washing organic/N load in (same mechanism as the 7/5 0.2-&gt;0.5 tick). 0.8 is above the 0.5 flag but still a trace; FC 14.6 is plenty to oxidize it -- expect it to clear over the next day or two now the rain has stopped. WATCH: if CC climbs toward 1.0+ or FC can't knock it down, revisit. fc_loss BLANK: noon-to-noon confounded by the pump-to-waste + 1gal dose + rain dilution -- not a clean value. Water temp 76 continues the cold-front slide (86-&gt;84-&gt;81-&gt;76); will rebound when sun returns. Level 15.5 cm (+0.4 vs yesterday's post-pump 15.1 -- overnight storm tail); rain has now STOPPED (feed 0.00in today) so the level should hold / slowly evaporate down -- no pump needed. rain_in left blank: trace overnight rise but no measurable daytime rain and the day isn't over. PHOTO documents the 15.5 level (tight ruler crop; water clear where visible, no debris).</t>
        </is>
      </c>
      <c r="W57" s="3975" t="inlineStr">
        <is>
          <t>quiet</t>
        </is>
      </c>
    </row>
    <row r="58">
      <c r="A58" s="3983" t="inlineStr">
        <is>
          <t>2026-07-07</t>
        </is>
      </c>
      <c r="B58" s="3984" t="inlineStr">
        <is>
          <t>18:30</t>
        </is>
      </c>
      <c r="C58" s="3984" t="inlineStr">
        <is>
          <t>DOSE</t>
        </is>
      </c>
      <c r="D58" s="3985" t="n"/>
      <c r="E58" s="3985" t="n"/>
      <c r="F58" s="3985" t="n"/>
      <c r="G58" s="3985" t="n"/>
      <c r="H58" s="3985" t="n">
        <v>17.4</v>
      </c>
      <c r="I58" s="3986" t="n"/>
      <c r="J58" s="3987" t="n"/>
      <c r="K58" s="3987" t="n"/>
      <c r="L58" s="3987" t="n"/>
      <c r="M58" s="3985" t="n">
        <v>1.5</v>
      </c>
      <c r="N58" s="3985" t="n">
        <v>23.5</v>
      </c>
      <c r="O58" s="3985" t="n"/>
      <c r="P58" s="3988" t="n"/>
      <c r="Q58" s="3985" t="n"/>
      <c r="R58" s="3985" t="n"/>
      <c r="S58" s="3985" t="n"/>
      <c r="T58" s="827" t="inlineStr">
        <is>
          <t>Overcast/cool at dose (66-70F, 0 sun today); forecast flips to full sun Wed 7/8 (13.5 sun-hrs, 78F, UV 7.8) then sunny Thu 7/9 (82F)</t>
        </is>
      </c>
      <c r="U58" s="3984" t="n"/>
      <c r="V58" s="827" t="inlineStr">
        <is>
          <t>1.5 gal added 6:30 PM. DELIBERATE PRE-LOAD for John's away-day: he can't dose Wed 7/8 evening (away until very late), and the forecast flips to FULL SUN Wed (13.5 sun-hrs, 78F, UV 7.8) + sunny Thu -- a 2-day high-loss coast with no evening top-up. Sized 1.5 (vs the ~1.0 a normal day would call for) to keep FC safely above the 10.5 floor across both sunny days. PROJECTION: ~17.3 at Wed noon (this leg is mostly overnight + a sunny Wed morning, L24~2.5), then the full sunny Wed day pulls it to ~13.5-14 at Thu 7/9 noon when John rechecks + resumes dosing -- comfortable margin above floor throughout. Peak tonight ~19 (harmless at CYA 150; shock is 40+, and nobody swims Wed). CC ANGLE: high FC + Wed's strong UV should finish oxidizing the 0.8 CC -- watch Wed noon test for it dropping. PREDICTION NOTE: John CAN still test Wed noon, so this dose gets scored cleanly one-noon-out (~17.3 target) despite the skipped evening dose; the further 2-day coast to Thu is tracked separately (noisier). Level high (15.5) but Wed's sun evaporates it down; no rain till a light 0.2in Thu -&gt; nothing to pump while away. Season total 23.5 gal.</t>
        </is>
      </c>
      <c r="W58" s="3989" t="n"/>
    </row>
    <row r="59">
      <c r="A59" s="3997" t="inlineStr">
        <is>
          <t>2026-07-08</t>
        </is>
      </c>
      <c r="B59" s="3998" t="inlineStr">
        <is>
          <t>11:45</t>
        </is>
      </c>
      <c r="C59" s="3998" t="inlineStr">
        <is>
          <t>TEST</t>
        </is>
      </c>
      <c r="D59" s="3999" t="n"/>
      <c r="E59" s="3999" t="n">
        <v>18</v>
      </c>
      <c r="F59" s="3999" t="n">
        <v>0.3</v>
      </c>
      <c r="G59" s="3999" t="n">
        <v>1.85</v>
      </c>
      <c r="H59" s="3999" t="n"/>
      <c r="I59" s="4000" t="n">
        <v>0.6</v>
      </c>
      <c r="J59" s="4001" t="n"/>
      <c r="K59" s="4001" t="n"/>
      <c r="L59" s="4001" t="n"/>
      <c r="M59" s="3999" t="n"/>
      <c r="N59" s="3999" t="n"/>
      <c r="O59" s="3999" t="n">
        <v>6.4</v>
      </c>
      <c r="P59" s="4002" t="n">
        <v>0</v>
      </c>
      <c r="Q59" s="3999" t="n"/>
      <c r="R59" s="3999" t="n">
        <v>76</v>
      </c>
      <c r="S59" s="3999" t="n">
        <v>15</v>
      </c>
      <c r="T59" s="1047" t="inlineStr">
        <is>
          <t>Clear now, 76F, 65% RH; sun so far 6.4h of 7h daylight (91%); today high 78F, 0.00in precip, UV max 7.8</t>
        </is>
      </c>
      <c r="U59" s="3998" t="inlineStr">
        <is>
          <t>2026-07-08_1.jpeg</t>
        </is>
      </c>
      <c r="V59" s="1047" t="inlineStr">
        <is>
          <t>25mL x0.2. FC 18.0, CC 0.3 -- PREDICTION VALIDATED: pred error +0.6 (actual 18.0 vs 7/7 dose's 17.4). Clean one-noon score on the 1.5gal away-day pre-load; model landed within 0.6. CC CLEARED as forecast: 0.8 -&gt; 0.3 -- yesterday's storm-load combined chlorine oxidized away by the high FC + today's strong UV (sun 6.4h by noon, UV 7.8), exactly the CC-clearing call. fc_loss 1.85 ppm/24h (14.6 + 1.5gal x3.5 - 18.0): CLEAN noon-to-noon (single evening dose, no pump/dilution -- level dropped 15.5-&gt;15.0 by evaporation, so no dilution). sun_hrs 6.4 here = the LOSS-WINDOW sun (overcast 7/7 afternoon ~0h + sunny 7/8 morning 6.4h), NOT 7/8's full calendar day (~13.5): logged that way so the loss-vs-sun scatter pairs honestly, since the window straddled the overcast-&gt;sunny flip. The (6.4 sun, 1.85 loss) point fits the low-slope recalibration (baseline ~1.5 + ~0.08/sun-hr). AWAY DAY: John tested at 11:45 but is out until very late -&gt; NO evening dose today (planned skip). Coast projection: FC 18.0 draws down through the rest of today's sun + overnight -&gt; ~14-14.5 at Thu 7/9 noon (sunny-day loss ~3.5-4), comfortably top-of-band; resume normal dosing Thu eve. Level 15.0 (down 0.5 via sun; no rain today, only a light 0.2in Thu) -&gt; nothing to pump while away. Water temp 76 (cool front holding; today's sun may nudge it up). PHOTO: skimmer-ruler shot documents the 15.0 level (water surface at ~15 on the tape); water clear where visible, no debris.</t>
        </is>
      </c>
      <c r="W59" s="4003" t="inlineStr">
        <is>
          <t>quiet</t>
        </is>
      </c>
    </row>
    <row r="60">
      <c r="A60" s="3969" t="inlineStr">
        <is>
          <t>2026-07-09</t>
        </is>
      </c>
      <c r="B60" s="3970" t="inlineStr">
        <is>
          <t>12:20</t>
        </is>
      </c>
      <c r="C60" s="3970" t="inlineStr">
        <is>
          <t>TEST</t>
        </is>
      </c>
      <c r="D60" s="3971" t="n"/>
      <c r="E60" s="3971" t="n">
        <v>14.4</v>
      </c>
      <c r="F60" s="3971" t="n">
        <v>0.2</v>
      </c>
      <c r="G60" s="3971" t="n">
        <v>3.6</v>
      </c>
      <c r="H60" s="3971" t="n"/>
      <c r="I60" s="3972" t="n"/>
      <c r="J60" s="3973" t="n"/>
      <c r="K60" s="3973" t="n"/>
      <c r="L60" s="3973" t="n"/>
      <c r="M60" s="3971" t="n"/>
      <c r="N60" s="3971" t="n"/>
      <c r="O60" s="3971" t="n">
        <v>13</v>
      </c>
      <c r="P60" s="3974" t="n">
        <v>0</v>
      </c>
      <c r="Q60" s="3971" t="n"/>
      <c r="R60" s="3971" t="n">
        <v>79</v>
      </c>
      <c r="S60" s="3971" t="n">
        <v>14.7</v>
      </c>
      <c r="T60" s="813" t="inlineStr">
        <is>
          <t>Clear now, 80F, 76% RH; sun so far 5.9h of 7h daylight (84%); today high 81F, 0.36in precip, UV max 7.8</t>
        </is>
      </c>
      <c r="U60" s="3970" t="inlineStr">
        <is>
          <t>2026-07-09_1.jpeg;2026-07-09_2.jpeg;2026-07-09_3.jpeg;2026-07-09_4.jpeg;2026-07-09_5.jpeg</t>
        </is>
      </c>
      <c r="V60" s="813" t="inlineStr">
        <is>
          <t>25mL x0.2. FC 14.4, CC 0.2 -- clean, healthy; back to normal cadence after the away day. AWAY-DAY COAST NAILED IT: FC 14.4 landed dead-center in the ~14-14.5 projection for the 2-day coast off the 1.5gal Tue-eve pre-load (dosed Tue eve -&gt; skipped Wed eve while away -&gt; today). CC fully cleared (0.8 -&gt; 0.3 -&gt; 0.2) with the sun + high FC, exactly as forecast. fc_loss 3.6 ppm/24h (18.0 Wed noon - 14.4 today, NO dose between -- CLEAN noon-to-noon; no pump, level dropped 15.0-&gt;14.7 by evaporation so no dilution). Valuable clean HOT-SUNNY point: ~13 sun-hr window (sunny Wed PM + sunny Thu AM), water ~77-79, lost 3.6 -- validates the l24_sunny bucket (3.5) almost exactly. Recalibration holding (recent clean points: 6.4 sun -&gt;1.85; 13 sun -&gt;3.6). sun_hrs 13.0 = loss-window sun (Wed noon-&gt;Thu noon), not one calendar day. Water temp 79 rebounding (76-&gt;79 as the cold front cleared, sun back). Level 14.7 (down 0.3 via evaporation; comfortable, no pump; a PM shower possible per 0.36in forecast but nothing fallen by test time). PHOTOS(5): 2 ruler shots document 14.7; wide shot crystal-clear, bottom + steps fully visible, no cloudiness/algae; liner-step close-up normal speckled blue (no stains); deck shot clear with minor surface debris (skimmer will clear). CYA recheck now due-ish (last anchor 6/24, ~2 wks; rain cleared, reagents in hand) -- worth running in the next day or two.</t>
        </is>
      </c>
      <c r="W60" s="3975" t="inlineStr">
        <is>
          <t>quiet</t>
        </is>
      </c>
    </row>
    <row r="61">
      <c r="A61" s="3983" t="inlineStr">
        <is>
          <t>2026-07-09</t>
        </is>
      </c>
      <c r="B61" s="3984" t="inlineStr">
        <is>
          <t>19:00</t>
        </is>
      </c>
      <c r="C61" s="3984" t="inlineStr">
        <is>
          <t>DOSE</t>
        </is>
      </c>
      <c r="D61" s="3985" t="n"/>
      <c r="E61" s="3985" t="n"/>
      <c r="F61" s="3985" t="n"/>
      <c r="G61" s="3985" t="n"/>
      <c r="H61" s="3985" t="n">
        <v>14.4</v>
      </c>
      <c r="I61" s="3986" t="n"/>
      <c r="J61" s="3987" t="n"/>
      <c r="K61" s="3987" t="n"/>
      <c r="L61" s="3987" t="n"/>
      <c r="M61" s="3985" t="n">
        <v>1</v>
      </c>
      <c r="N61" s="3985" t="n">
        <v>24.5</v>
      </c>
      <c r="O61" s="3985" t="n"/>
      <c r="P61" s="3988" t="n"/>
      <c r="Q61" s="3985" t="n"/>
      <c r="R61" s="3985" t="n"/>
      <c r="S61" s="3985" t="n"/>
      <c r="T61" s="827" t="inlineStr">
        <is>
          <t>Hot/sunny day (high 81F, water ~79-80); sunny Fri 7/10 forecast (~85F)</t>
        </is>
      </c>
      <c r="U61" s="3984" t="n"/>
      <c r="V61" s="827" t="inlineStr">
        <is>
          <t>1.0 gal added 7:00 PM. Normal cadence resumes after the away-day skip (no Wed eve dose). FC 14.4 at noon + 1gal x3.5 - 3.5 (hot-sunny L24) -&gt; pred ~14.4 at Fri noon, holding steady top-of-band. Hot sunny stretch continues (water ~79-80, sunny Fri forecast). Season total 24.5 gal.</t>
        </is>
      </c>
      <c r="W61" s="3989" t="n"/>
    </row>
    <row r="62">
      <c r="A62" s="3955" t="inlineStr">
        <is>
          <t>2026-07-10</t>
        </is>
      </c>
      <c r="B62" s="3956" t="inlineStr">
        <is>
          <t>13:14</t>
        </is>
      </c>
      <c r="C62" s="3956" t="inlineStr">
        <is>
          <t>TEST</t>
        </is>
      </c>
      <c r="D62" s="3957" t="n"/>
      <c r="E62" s="3957" t="n">
        <v>11.4</v>
      </c>
      <c r="F62" s="3957" t="n">
        <v>0.8</v>
      </c>
      <c r="G62" s="3957" t="n"/>
      <c r="H62" s="3957" t="n"/>
      <c r="I62" s="3958" t="n">
        <v>-3</v>
      </c>
      <c r="J62" s="3959" t="n"/>
      <c r="K62" s="3959" t="n"/>
      <c r="L62" s="3959" t="n"/>
      <c r="M62" s="3957" t="n"/>
      <c r="N62" s="3957" t="n"/>
      <c r="O62" s="3957" t="n">
        <v>13.5</v>
      </c>
      <c r="P62" s="3960" t="n">
        <v>0</v>
      </c>
      <c r="Q62" s="3957" t="n"/>
      <c r="R62" s="3957" t="n">
        <v>81</v>
      </c>
      <c r="S62" s="3957" t="n">
        <v>14.4</v>
      </c>
      <c r="T62" s="624" t="inlineStr">
        <is>
          <t>Overcast now, 83F, 63% RH; sun so far 6.6h of 8h daylight (82%); today high 84F, 0.00in precip, UV max 6.5</t>
        </is>
      </c>
      <c r="U62" s="3956" t="inlineStr">
        <is>
          <t>2026-07-10_1.jpeg;2026-07-10_2.jpeg;2026-07-10_3.jpeg;2026-07-10_4.jpeg;2026-07-10_5.jpeg;2026-07-10_6.jpeg</t>
        </is>
      </c>
      <c r="V62" s="624" t="inlineStr">
        <is>
          <t>25mL x0.2. FC 11.4, CC 0.8 -- BATHER/DOG-LOAD DAY (not a model miss). Pred error -3.0 (actual 11.4 vs 7/9 dose's 14.4) -- biggest miss since the 7/6 storm. Effective 24h loss 6.5 (14.4 + 1gal x3.5 - 11.4), ~2x the ~3.5 hot-sunny baseline. THE TELL: FC crashed AND CC jumped 0.2-&gt;0.8 at the same time -- sun burns FC but does NOT create CC, so the CC pins the excess on an ORGANIC load, not weather. Cause confirmed by John: a DOG swam (+ one person). A dog is a large chlorine consumer (fur/dander/dirt/oils -&gt; demand + chloramines), easily accounts for the extra ~2.5 ppm demand and the 0.8 CC; Thursday's all-day sun supplied a high-end baseline (~4) on top -&gt; ~4 + ~2.5 = 6.5. fc_loss BLANKED: exogenous bather/dog load makes it non-representative of weather demand -- do NOT let it skew the loss-vs-weather buckets (same treatment as storm/pump-confounded days). Water CLEAR (bottom + steps fully visible) -&gt; NOT algae, purely a demand event that high FC clears. FC 11.4 still above floor (10.5), never unsafe. Dark object in a photo = the robotic vacuum cleaning the floor (benign, per John). Water temp 81 (warming trend continues). Level 14.4 (down 0.3, evaporation; no rain). PHOTOS(6): 2 ruler shots (14.4); wide shots clear/healthy with pool floats drying on the deck (flag/duck -- pool got used); step close-up normal speckled liner. SAT 7/11 CONCERT: John can't dose Sat night -&gt; tonight's dose pre-loads the coast to Sun. GOOD: Sat forecast CLOUDY (3.7 sun hrs) = low-loss, eases the pre-load. Sun 7/12: full test battery (CYA re-anchor) + resume dosing. CYA recheck ~2.5 wks old (last 6/24).</t>
        </is>
      </c>
      <c r="W62" s="3961" t="inlineStr">
        <is>
          <t>dog</t>
        </is>
      </c>
    </row>
    <row r="63">
      <c r="A63" s="3962" t="inlineStr">
        <is>
          <t>2026-07-10</t>
        </is>
      </c>
      <c r="B63" s="3963" t="inlineStr">
        <is>
          <t>19:50</t>
        </is>
      </c>
      <c r="C63" s="3963" t="inlineStr">
        <is>
          <t>DOSE</t>
        </is>
      </c>
      <c r="D63" s="3964" t="n"/>
      <c r="E63" s="3964" t="n"/>
      <c r="F63" s="3964" t="n"/>
      <c r="G63" s="3964" t="n"/>
      <c r="H63" s="3964" t="n">
        <v>13.6</v>
      </c>
      <c r="I63" s="3965" t="n"/>
      <c r="J63" s="3966" t="n"/>
      <c r="K63" s="3966" t="n"/>
      <c r="L63" s="3966" t="n"/>
      <c r="M63" s="3964" t="n">
        <v>1.5</v>
      </c>
      <c r="N63" s="3964" t="n">
        <v>26</v>
      </c>
      <c r="O63" s="3964" t="n"/>
      <c r="P63" s="3967" t="n"/>
      <c r="Q63" s="3964" t="n"/>
      <c r="R63" s="3964" t="n"/>
      <c r="S63" s="3964" t="n"/>
      <c r="T63" s="631" t="inlineStr">
        <is>
          <t>Partly sunny clouding up (high 84F, water 81F); cloudy Sat 7/11 forecast (3.7 sun hrs)</t>
        </is>
      </c>
      <c r="U63" s="3963" t="n"/>
      <c r="V63" s="631" t="inlineStr">
        <is>
          <t>1.5 gal added 7:50 PM. First leg of the split-dose plan for the Sat-concert coast (can't dose Sat night -&gt; 1.5 tonight + 1.0 Sat noon -&gt; Sun full battery + resume). Recovers FC from the lean 11.4 (dog-load day) and gives headroom to clear the 0.8 CC overnight. Loss window = overnight + cloudy Sat AM (Sat only 3.7 sun hrs) -&gt; L24 ~3.0 -&gt; pred ~13.6 at Sat noon. Season total 26.0 gal.</t>
        </is>
      </c>
      <c r="W63" s="3968" t="n"/>
    </row>
    <row r="64">
      <c r="A64" s="3969" t="inlineStr">
        <is>
          <t>2026-07-11</t>
        </is>
      </c>
      <c r="B64" s="3970" t="inlineStr">
        <is>
          <t>12:30</t>
        </is>
      </c>
      <c r="C64" s="3970" t="inlineStr">
        <is>
          <t>TEST</t>
        </is>
      </c>
      <c r="D64" s="3971" t="n"/>
      <c r="E64" s="3971" t="n"/>
      <c r="F64" s="3971" t="n"/>
      <c r="G64" s="3971" t="n"/>
      <c r="H64" s="3971" t="n"/>
      <c r="I64" s="3972" t="n"/>
      <c r="J64" s="3973" t="n"/>
      <c r="K64" s="3973" t="n"/>
      <c r="L64" s="3973" t="n"/>
      <c r="M64" s="3971" t="n"/>
      <c r="N64" s="3971" t="n"/>
      <c r="O64" s="3971" t="n"/>
      <c r="P64" s="3974" t="n">
        <v>0</v>
      </c>
      <c r="Q64" s="3971" t="n"/>
      <c r="R64" s="3971" t="n">
        <v>81</v>
      </c>
      <c r="S64" s="3971" t="n">
        <v>13.8</v>
      </c>
      <c r="T64" s="813" t="inlineStr">
        <is>
          <t>Clear now, 80F, 61% RH; sun so far 6.0h of 7h daylight (86%); today high 80F, 0.00in precip, UV max 7.7</t>
        </is>
      </c>
      <c r="U64" s="3970" t="inlineStr">
        <is>
          <t>2026-07-11_1.jpeg;2026-07-11_2.jpeg;2026-07-11_3.jpeg;2026-07-11_4.jpeg;2026-07-11_5.jpeg</t>
        </is>
      </c>
      <c r="V64" s="813" t="inlineStr">
        <is>
          <t>Readings ~12:30 PM. LEVEL 13.8 cm + WATER TEMP 81 both valid. FC/CC LEFT BLANK -- reagent failure, no valid chlorine reading today (not recording an impossible value or an invented one). John ran 2 FC titrations: #1 ran out of the OLD FAS mid-test, finished with a NEW bottle -&gt; 105 drops = 21.0; #2 all-NEW FAS -&gt; 125 drops = 25.0 (CC ~0.5 both). BOTH CHEMICALLY IMPOSSIBLE: Fri noon FC 11.4, +1.5 gal (=+5.25) Fri eve, nothing added today -&gt; HARD CEILING ~16.6 ppm; FC cannot be 21 or 25. DIAGNOSIS: the NEW FAS titrant bottle is weak/degraded -&gt; over-titrates (weak drops each remove less chlorine -&gt; more drops -&gt; falsely high FC). Confirmed by pattern: more new reagent = more drops (mixed 105 &lt; all-new 125); yesterday's read on the OLD bottle was a normal ~57 drops. So OLD bottle good, NEW bottle bad. (Minor CYA-endpoint fade at CYA 150 can add a bit, but a near-doubling of drops is a potency problem.) TRUE FC estimated ~13.6 -- matches last night's dose prediction exactly. FAS (R-0871) is the least-stable kit reagent (oxidizes w/ age+heat) -&gt; REPLACE. John correctly did NOT dose on a bogus 25. Recommending the planned ~1 gal Sat-noon top-up anyway: true FC ~13.6, safe (ceiling ~16.6), and Sat came in SUNNY not the forecast cloudy -&gt; without the top-up FC coasts to ~9.9 (below floor) by Sun; with it ~13.4. Water CLEAR/healthy in photos (bottom+steps visible, no algae) -- pool is fine, only the reagent is off. Level 13.8 (down 0.6, evaporation; dry). PHOTOS(5): ruler (13.8) + clear wide shots. SUN 7/12: full battery + resume -- NEEDS fresh FAS for reliable FC/CC.</t>
        </is>
      </c>
      <c r="W64" s="3975" t="n"/>
    </row>
    <row r="65">
      <c r="A65" s="3983" t="inlineStr">
        <is>
          <t>2026-07-11</t>
        </is>
      </c>
      <c r="B65" s="3984" t="inlineStr">
        <is>
          <t>13:00</t>
        </is>
      </c>
      <c r="C65" s="3984" t="inlineStr">
        <is>
          <t>DOSE</t>
        </is>
      </c>
      <c r="D65" s="3985" t="n"/>
      <c r="E65" s="3985" t="n"/>
      <c r="F65" s="3985" t="n"/>
      <c r="G65" s="3985" t="n"/>
      <c r="H65" s="3985" t="n">
        <v>13.6</v>
      </c>
      <c r="I65" s="3986" t="n"/>
      <c r="J65" s="3987" t="n"/>
      <c r="K65" s="3987" t="n"/>
      <c r="L65" s="3987" t="n"/>
      <c r="M65" s="3985" t="n">
        <v>1</v>
      </c>
      <c r="N65" s="3985" t="n">
        <v>27</v>
      </c>
      <c r="O65" s="3985" t="n"/>
      <c r="P65" s="3988" t="n"/>
      <c r="Q65" s="3985" t="n"/>
      <c r="R65" s="3985" t="n"/>
      <c r="S65" s="3985" t="n"/>
      <c r="T65" s="827" t="inlineStr">
        <is>
          <t>Sunny (6h sun by noon, high 80F, water 81F); daytime top-up before Sat-night concert</t>
        </is>
      </c>
      <c r="U65" s="3984" t="n"/>
      <c r="V65" s="827" t="inlineStr">
        <is>
          <t>1.0 gal added 1:00 PM. Leg 2 of the split-dose (Sat-concert coast; can't dose Sat night). Dosed on the MODEL-ESTIMATED base FC ~13.6 -- today's titration was INVALID (bad new FAS reagent over-read a bogus 21/25; see 7/11 TEST note; hard ceiling was ~16.6). +1gal x3.5 - ~3.5 sunny-day loss -&gt; pred ~13.6 at Sun noon (holds steady, keeps FC off the floor across sunny Sat + concert night). John ordered a fresh reagent set from TFTestKits (TF-100) -&gt; reliable FC/CC resumes once it arrives; Sun full battery may still ride the estimate if it hasn't shown up. Season total 27.0 gal.</t>
        </is>
      </c>
      <c r="W65" s="3989" t="n"/>
    </row>
    <row r="66">
      <c r="A66" s="3997" t="inlineStr">
        <is>
          <t>2026-07-12</t>
        </is>
      </c>
      <c r="B66" s="3998" t="inlineStr">
        <is>
          <t>13:00</t>
        </is>
      </c>
      <c r="C66" s="3998" t="inlineStr">
        <is>
          <t>TEST</t>
        </is>
      </c>
      <c r="D66" s="3999" t="n">
        <v>7.7</v>
      </c>
      <c r="E66" s="3999" t="n"/>
      <c r="F66" s="3999" t="n">
        <v>0.4</v>
      </c>
      <c r="G66" s="3999" t="n"/>
      <c r="H66" s="3999" t="n"/>
      <c r="I66" s="4000" t="n"/>
      <c r="J66" s="4001" t="n">
        <v>150</v>
      </c>
      <c r="K66" s="4001" t="n">
        <v>200</v>
      </c>
      <c r="L66" s="4001" t="n">
        <v>144</v>
      </c>
      <c r="M66" s="3999" t="n"/>
      <c r="N66" s="3999" t="n"/>
      <c r="O66" s="3999" t="n"/>
      <c r="P66" s="4002" t="n">
        <v>0</v>
      </c>
      <c r="Q66" s="3999" t="n"/>
      <c r="R66" s="3999" t="n">
        <v>81</v>
      </c>
      <c r="S66" s="3999" t="n">
        <v>13.7</v>
      </c>
      <c r="T66" s="1047" t="inlineStr">
        <is>
          <t>Clear now, 79F, 51% RH; sun so far 7.2h of 8h daylight (90%); today high 81F, 0.00in precip, UV max 7.7</t>
        </is>
      </c>
      <c r="U66" s="3998" t="inlineStr">
        <is>
          <t>2026-07-12_1.jpeg;2026-07-12_2.jpeg;2026-07-12_3.jpeg;2026-07-12_4.jpeg;2026-07-12_5.jpeg;2026-07-12_6.jpeg;2026-07-12_7.jpeg;2026-07-12_8.jpeg;2026-07-12_9.jpeg</t>
        </is>
      </c>
      <c r="V66" s="1047" t="inlineStr">
        <is>
          <t>FULL BATTERY (drop tests + 2 test strips as cross-check), ~1PM. RE-ANCHORS: pH 7.7, TA 150, CH ~200, CYA ~144 (was 150; ~6ppm passive rain-dilution over 3 wks) -- ALL corroborated by the strips (pH pad pink~7.7, TA green~150, hardness purple~200, CYA magenta~144). Updated dose.py cya_current 150-&gt;144 (band now floor ~10 / aim ~14). CC ~0.4 (low, fine; same reagent so approx, but 'low' is robust). Water crystal clear, no algae (photos). Level 13.7, temp 81. FC LEFT BLANK -- still no reliable value: both remaining OLD FAS bottles (incl. the season-start 'very old' one) read 105-108 drops = ~21, same as Sat's new bottle. 21 sits right at the absolute zero-loss ceiling (Fri 11.4 +1.5gal +1.0gal = ~20.15 max) so it can't literally be 21 -&gt; reagent over-reading (as Sat proved vs the 16.6 ceiling then). BOTH strips' FC pads read PURPLE/'excessive' = FC&gt;10 (their scale max) -- consistent with ~13-20, doesn't distinguish. BEST ESTIMATE true FC ~13-15 (model + Sat's ~1.5x over-read factor applied to 21); could be ~18-20 if weekend loss was minimal at CYA 144. Either way SAFELY IN BAND (floor ~10, safe to ~19-20) and &gt;10 per strips. Two old bottles agreeing -&gt; likely both aged/degraded and/or high-CYA+high-FC FAS endpoint fade (chasing the returning pink over-counts). PLAN: no dose today (in-band, clear, CC low); wait for fresh TF-100 for a true FC, or track the drop-count TREND (day-to-day change is real even if absolute is off; when the count falls toward ~70 drops, FC is nearing dose-time). pred_error blank (no valid actual; ~13-15 estimate is consistent with Sat dose's 13.6 pred).</t>
        </is>
      </c>
      <c r="W66" s="4003" t="n"/>
    </row>
    <row r="67">
      <c r="A67" s="4004" t="inlineStr">
        <is>
          <t>2026-07-13</t>
        </is>
      </c>
      <c r="B67" s="4005" t="inlineStr">
        <is>
          <t>13:40</t>
        </is>
      </c>
      <c r="C67" s="4005" t="inlineStr">
        <is>
          <t>TEST</t>
        </is>
      </c>
      <c r="D67" s="4006" t="n"/>
      <c r="E67" s="4006" t="n"/>
      <c r="F67" s="4006" t="n">
        <v>0</v>
      </c>
      <c r="G67" s="4006" t="n"/>
      <c r="H67" s="4006" t="n"/>
      <c r="I67" s="4007" t="n"/>
      <c r="J67" s="4008" t="n"/>
      <c r="K67" s="4008" t="n"/>
      <c r="L67" s="4008" t="n"/>
      <c r="M67" s="4006" t="n"/>
      <c r="N67" s="4006" t="n"/>
      <c r="O67" s="4006" t="n"/>
      <c r="P67" s="4009" t="n">
        <v>0</v>
      </c>
      <c r="Q67" s="4006" t="n"/>
      <c r="R67" s="4006" t="n">
        <v>81</v>
      </c>
      <c r="S67" s="4006" t="n">
        <v>13.3</v>
      </c>
      <c r="T67" s="1199" t="inlineStr">
        <is>
          <t>Overcast now, 80F, 57% RH; sun so far 8.2h of 9h daylight (92%); today high 81F, 0.00in precip, UV max 7.7</t>
        </is>
      </c>
      <c r="U67" s="4005" t="inlineStr">
        <is>
          <t>2026-07-13_1.jpeg;2026-07-13_2.jpeg;2026-07-13_3.jpeg;2026-07-13_4.jpeg;2026-07-13_5.jpeg;2026-07-13_6.jpeg;2026-07-13_7.jpeg;2026-07-13_8.jpeg;2026-07-13_9.jpeg;2026-07-13_10.jpeg;2026-07-13_11.jpeg</t>
        </is>
      </c>
      <c r="V67" s="1199" t="inlineStr">
        <is>
          <t>~1:40 PM. FC still on the bad old reagent: 96 drops = 19.2 (over-reads ~1.5x) -&gt; CORRECTED ~13. TREND WORKING as designed: Sun ~106 drops -&gt; Mon 96 drops (-10) = real, modest FC decline (~1-1.5 ppm/day true), confirming loss is LOW at CYA 144 (no swimming). Still comfortably above the ~10 floor. CC 0.0 (clean; also means no combined-chlorine endpoint muddle today). Water clear/healthy (photos), level 13.3 (down 0.4, evaporation; dry), temp 81. NO dose needed tonight; slow loss pushes next dose to ~Wed. Waiting on TF-100 for a true FC recalibration; John doing dip tests later today. FC column blank (reading unreliable; trend + corrected estimate in notes). EVENING STRIPS (~6:20PM, both brands) re-confirm the stable anchors: pH ~7.7, TA ~150, hardness ~200, CYA ~140-150 (all match the drop tests). FC pads DISAGREE by brand -- 4-chem reads 'excessive'/purple (high), HTH reads lighter (~2-4); classic high-CYA strip flakiness. They agree FC is present but can't quantify it, so the drop-count trend stays the FC handle. No change to the plan.</t>
        </is>
      </c>
      <c r="W67" s="4010" t="n"/>
    </row>
    <row r="68">
      <c r="A68" s="3997" t="inlineStr">
        <is>
          <t>2026-07-14</t>
        </is>
      </c>
      <c r="B68" s="3998" t="inlineStr">
        <is>
          <t>13:15</t>
        </is>
      </c>
      <c r="C68" s="3998" t="inlineStr">
        <is>
          <t>TEST</t>
        </is>
      </c>
      <c r="D68" s="3999" t="n"/>
      <c r="E68" s="3999" t="n"/>
      <c r="F68" s="3999" t="n">
        <v>0</v>
      </c>
      <c r="G68" s="3999" t="n"/>
      <c r="H68" s="3999" t="n"/>
      <c r="I68" s="4000" t="n"/>
      <c r="J68" s="4001" t="n"/>
      <c r="K68" s="4001" t="n"/>
      <c r="L68" s="4001" t="n"/>
      <c r="M68" s="3999" t="n"/>
      <c r="N68" s="3999" t="n"/>
      <c r="O68" s="3999" t="n"/>
      <c r="P68" s="4002" t="n">
        <v>0</v>
      </c>
      <c r="Q68" s="3999" t="n"/>
      <c r="R68" s="3999" t="n">
        <v>80</v>
      </c>
      <c r="S68" s="3999" t="n">
        <v>12.75</v>
      </c>
      <c r="T68" s="1047" t="inlineStr">
        <is>
          <t>Clear now, 84F, 61% RH; sun so far 7.2h of 8h daylight (90%); today high 89F, 0.00in precip, UV max 7.8</t>
        </is>
      </c>
      <c r="U68" s="3998" t="inlineStr">
        <is>
          <t>2026-07-14_1.jpeg;2026-07-14_2.jpeg;2026-07-14_3.jpeg;2026-07-14_4.jpeg;2026-07-14_5.jpeg;2026-07-14_6.jpeg;2026-07-14_7.jpeg;2026-07-14_8.jpeg;2026-07-14_9.jpeg;2026-07-14_10.jpeg;2026-07-14_11.jpeg;2026-07-14_12.jpeg;2026-07-14_13.jpeg;2026-07-14_14.jpeg;2026-07-14_15.jpeg;2026-07-14_16.jpeg;2026-07-14_17.jpeg</t>
        </is>
      </c>
      <c r="V68" s="1047" t="inlineStr">
        <is>
          <t>~1:15 PM. FC (bad old reagent): 86 drops = 17.2 reading -&gt; CORRECTED ~11.5. TREND DEAD-ON: 106 (Sun) -&gt; 96 (Mon) -&gt; 86 (Tue) = perfectly linear ~10 drops/day (~1.3 ppm/day true) decline; trend-tracking is nailing it. Still above the ~10 floor. CC 0.0 (clean). Level 12.75 (down 0.55, evaporation; dry), temp 80. FOUR dip tests (2 known brands + 2 older unknown-age): all roughly agree the STABLE anchors are in range (pH ~7.7, TA ~150, hardness ~200, CYA ~140) but scatter on FC (bleach-sensitive at CYA 144 + varying age) -- no usable FC number, as expected. Water clear/healthy. PLAN: no dose today (~11.5, in band); at ~10 drops/day the count hits the ~75 dose-line ~WED -&gt; plan ~1 gal Wed eve to bridge to the TF-100 (ETA Fri 7/17). FC blank (unreliable; trend+corrected in notes). 17 photos incl the 4 dip tests.</t>
        </is>
      </c>
      <c r="W68" s="4003" t="n"/>
    </row>
    <row r="69">
      <c r="A69" s="3969" t="inlineStr">
        <is>
          <t>2026-07-15</t>
        </is>
      </c>
      <c r="B69" s="3970" t="inlineStr">
        <is>
          <t>12:25</t>
        </is>
      </c>
      <c r="C69" s="3970" t="inlineStr">
        <is>
          <t>TEST</t>
        </is>
      </c>
      <c r="D69" s="3971" t="n"/>
      <c r="E69" s="3971" t="n"/>
      <c r="F69" s="3971" t="n">
        <v>0.2</v>
      </c>
      <c r="G69" s="3971" t="n"/>
      <c r="H69" s="3971" t="n"/>
      <c r="I69" s="3972" t="n"/>
      <c r="J69" s="3973" t="n"/>
      <c r="K69" s="3973" t="n"/>
      <c r="L69" s="3973" t="n"/>
      <c r="M69" s="3971" t="n"/>
      <c r="N69" s="3971" t="n"/>
      <c r="O69" s="3971" t="n"/>
      <c r="P69" s="3974" t="n">
        <v>0</v>
      </c>
      <c r="Q69" s="3971" t="n"/>
      <c r="R69" s="3971" t="n">
        <v>80</v>
      </c>
      <c r="S69" s="3971" t="n">
        <v>12.6</v>
      </c>
      <c r="T69" s="813" t="inlineStr">
        <is>
          <t>Clear now, 86F, 62% RH; sun so far 6.3h of 7h daylight (90%); today high 87F, 0.00in precip, UV max 7.8</t>
        </is>
      </c>
      <c r="U69" s="3970" t="inlineStr">
        <is>
          <t>2026-07-15_1.jpeg;2026-07-15_2.jpeg;2026-07-15_3.jpeg;2026-07-15_4.jpeg</t>
        </is>
      </c>
      <c r="V69" s="813" t="inlineStr">
        <is>
          <t>~12:25 PM. FC (bad old reagent): 75 drops = 15.0 reading -&gt; CORRECTED ~10.0 -- RIGHT AT the floor and exactly on the ~75 dose-line. TREND still linear: 106-&gt;96-&gt;86-&gt;75 (~10 drops/day). CC 0.2 (John unsure; low regardless, fine). Level 12.6 (slow evaporation; dry), temp 80. Water clear/healthy (photos). DOSE TONIGHT: recommending 1.5 gal (restore toward aim ~14 from the floor; comfortably clears Fri when the TF-100 lands) -&gt; ~13.5-14 peak -&gt; ~11 Fri. FC blank (unreliable; 75 drops/~10 corrected recorded here). TF-100 ETA Fri 7/17.</t>
        </is>
      </c>
      <c r="W69" s="3975" t="n"/>
    </row>
    <row r="70">
      <c r="A70" s="3983" t="inlineStr">
        <is>
          <t>2026-07-15</t>
        </is>
      </c>
      <c r="B70" s="3984" t="inlineStr">
        <is>
          <t>20:00</t>
        </is>
      </c>
      <c r="C70" s="3984" t="inlineStr">
        <is>
          <t>DOSE</t>
        </is>
      </c>
      <c r="D70" s="3985" t="n"/>
      <c r="E70" s="3985" t="n"/>
      <c r="F70" s="3985" t="n"/>
      <c r="G70" s="3985" t="n"/>
      <c r="H70" s="3985" t="n">
        <v>13</v>
      </c>
      <c r="I70" s="3986" t="n"/>
      <c r="J70" s="3987" t="n"/>
      <c r="K70" s="3987" t="n"/>
      <c r="L70" s="3987" t="n"/>
      <c r="M70" s="3985" t="n">
        <v>1.5</v>
      </c>
      <c r="N70" s="3985" t="n">
        <v>28.5</v>
      </c>
      <c r="O70" s="3985" t="n"/>
      <c r="P70" s="3988" t="n"/>
      <c r="Q70" s="3985" t="n"/>
      <c r="R70" s="3985" t="n"/>
      <c r="S70" s="3985" t="n"/>
      <c r="T70" s="827" t="inlineStr">
        <is>
          <t>Clear/hazy evening ~80F; wildfire smoke moving in (1-2 days of reduced sun)</t>
        </is>
      </c>
      <c r="U70" s="3984" t="n"/>
      <c r="V70" s="827" t="inlineStr">
        <is>
          <t>1.5 gal added 8:00 PM. Restores FC from the floor (~10 corrected est) back toward aim (~14) and bridges to Fri's TF-100. Dosed on a CORRECTED-ESTIMATE base (bad reagent; 75-drop reading = ~10 true), so pred ~13 at Thu noon is a ballpark (10 + 1.5gal x3.5 - ~2.5 loss). WILDFIRE SMOKE incoming (1-2 days) -&gt; reduced UV -&gt; loss likely LOWER than modeled, so FC may hold a bit higher (watch for the drop-count decline flattening; weather feed logs clear-sky sun it can't see through smoke). First dose since Sat 7/11 (FC coasted down all week on the trend 106-&gt;96-&gt;86-&gt;75). Season total 28.5 gal.</t>
        </is>
      </c>
      <c r="W70" s="3989" t="n"/>
    </row>
    <row r="71">
      <c r="A71" s="3997" t="inlineStr">
        <is>
          <t>2026-07-16</t>
        </is>
      </c>
      <c r="B71" s="3998" t="inlineStr">
        <is>
          <t>12:30</t>
        </is>
      </c>
      <c r="C71" s="3998" t="inlineStr">
        <is>
          <t>TEST</t>
        </is>
      </c>
      <c r="D71" s="3999" t="n"/>
      <c r="E71" s="3999" t="n"/>
      <c r="F71" s="3999" t="n">
        <v>0.4</v>
      </c>
      <c r="G71" s="3999" t="n"/>
      <c r="H71" s="3999" t="n"/>
      <c r="I71" s="4000" t="n"/>
      <c r="J71" s="4001" t="n"/>
      <c r="K71" s="4001" t="n"/>
      <c r="L71" s="4001" t="n"/>
      <c r="M71" s="3999" t="n"/>
      <c r="N71" s="3999" t="n"/>
      <c r="O71" s="3999" t="n"/>
      <c r="P71" s="4002" t="n">
        <v>0</v>
      </c>
      <c r="Q71" s="3999" t="n"/>
      <c r="R71" s="3999" t="n">
        <v>80</v>
      </c>
      <c r="S71" s="3999" t="n">
        <v>12.2</v>
      </c>
      <c r="T71" s="1047" t="inlineStr">
        <is>
          <t>Partly cloudy now, 79F, 67% RH; sun so far 5.3h of 7h daylight (76%); today high 85F, 0.00in precip, UV max 7.7  [NOTE: feed reports clear-sky sun; it cannot see the wildfire smoke, so real UV was lower]</t>
        </is>
      </c>
      <c r="U71" s="3998" t="inlineStr">
        <is>
          <t>2026-07-16_1.jpeg;2026-07-16_2.jpeg;2026-07-16_3.jpeg;2026-07-16_4.jpeg</t>
        </is>
      </c>
      <c r="V71" s="1047" t="inlineStr">
        <is>
          <t>~12:30 PM. FC (bad old reagent): 109 drops = 21.8 reading -&gt; CORRECTED ~14.5. DOSE LANDED + SMOKE EFFECT QUANTIFIED: Wed noon was 75 drops; the 1.5gal adds ~39 drops (5.25 true x1.5 over-read) -&gt; ~114 expected before loss; actual 109 =&gt; only ~5 drops (~0.72 true ppm) lost in 24h vs the ~10 drops/day (~1.3 ppm) of the prior sunny week. WILDFIRE SMOKE CUT FC LOSS ~IN HALF, exactly as predicted (reduced UV). FC ~14.5 = right at/above aim (14). Dose-row pred was 13.0, so it ran ~+1.5 high -- attributable to the smoke; pred_error left BLANK because the 'actual' is a corrected estimate, not a measurement. CC 0.4 (up from 0.2) -- also as predicted: smoke ash/particulate adds a tiny organic load; photos show fine specks on the skimmer frame. Still low/fine. Level 12.2, sliding ~0.4/day on the dry hot stretch (season range 11.65-15.5 so still normal, but a hose top-up may be due if the dry spell holds). Temp 80. Water clear, no film/algae. NO dose tonight (FC at aim). FRI 7/17: TF-100 lands -&gt; real FC -&gt; recalibrate the over-read factor + resume precise dosing. FC blank (unreliable; 109 drops/~14.5 corrected recorded here).</t>
        </is>
      </c>
      <c r="W71" s="4003" t="n"/>
    </row>
    <row r="72">
      <c r="A72" s="4004" t="inlineStr">
        <is>
          <t>2026-07-17</t>
        </is>
      </c>
      <c r="B72" s="4005" t="inlineStr">
        <is>
          <t>12:45</t>
        </is>
      </c>
      <c r="C72" s="4005" t="inlineStr">
        <is>
          <t>TEST</t>
        </is>
      </c>
      <c r="D72" s="4006" t="n"/>
      <c r="E72" s="4006" t="n">
        <v>17.6</v>
      </c>
      <c r="F72" s="4006" t="n">
        <v>0.2</v>
      </c>
      <c r="G72" s="4006" t="n"/>
      <c r="H72" s="4006" t="n"/>
      <c r="I72" s="4007" t="n"/>
      <c r="J72" s="4008" t="n"/>
      <c r="K72" s="4008" t="n"/>
      <c r="L72" s="4008" t="n"/>
      <c r="M72" s="4006" t="n"/>
      <c r="N72" s="4006" t="n"/>
      <c r="O72" s="4006" t="n"/>
      <c r="P72" s="4009" t="n">
        <v>0</v>
      </c>
      <c r="Q72" s="4006" t="n"/>
      <c r="R72" s="4006" t="n">
        <v>78</v>
      </c>
      <c r="S72" s="4006" t="n">
        <v>12</v>
      </c>
      <c r="T72" s="1199" t="inlineStr">
        <is>
          <t>Clear now, 82F, 40% RH; feed sun 8.3h of 9h daylight (clear-sky); high 82F, 0.00in precip, UV max 7.7  [NOTE: feed can't see the wildfire smoke -- real UV likely still lower]</t>
        </is>
      </c>
      <c r="U72" s="4005" t="inlineStr">
        <is>
          <t>2026-07-17_1.jpeg;2026-07-17_2.jpeg;2026-07-17_3.jpeg;2026-07-17_4.jpeg;2026-07-17_5.jpeg;2026-07-17_6.jpeg</t>
        </is>
      </c>
      <c r="V72" s="1199" t="inlineStr">
        <is>
          <t>~12:45 PM. TF-100 KIT ARRIVED -&gt; REAL FC RESUMES (first measured FC since 7/10). New reagent: 88 drops = FC 17.6, REPRODUCED exactly on a 2nd proper first-clear titration (held 15s, ignored the CYA re-pink). CC 0.2. Reagent-estimate era (7/11-7/16, FC logged blank) CLOSED. RESOLUTION: the 'impossible-looking' FC was mostly a POOL-VOLUME error, not just the reagent. Measured hopper geometry (John's sketch: 40x20; 12ft shallow shelf @3ft; deep flat 10x14 @8.5ft; ALL perimeter walls 3ft) = ~31,400 gal FULL, not 34,400 (~9% high all season; see pool_volume.py). So the old FAS over-read only ~1.2x (not ~1.5x), and with wildfire smoke nearly freezing loss (~0.2 ppm/day) 17.6 is fully consistent. Back-solve: 7/16 true FC was ~18 (not the ~14.5 we estimated) -&gt; the smoke week ran ~20% HIGHER than logged; always safe. FC 17.6 is ABOVE the 13-15 target band but well within safe-swim (~19-20 at CYA 144) -&gt; NO dose tonight; coasts into band over ~2-4 days. dose.py updated 34400-&gt;31400 gal, 3.5-&gt;3.84 ppm/gal (evening L24 model now needs re-validation -- it was fit to the old response). LEVEL-&gt;VOLUME METHOD (new): shallow measures 34.5in vs 36in full = 1.5in low -&gt; current volume ~30,700 gal; skimmer ruler 12.0cm. Going forward, daily skimmer delta x ~196 gal/cm = gallon loss/gain (7/16-&gt;17 was -0.2cm ~ -39 gal evap, tiny under smoke). PHOTOS(6): water CRYSTAL clear, bottom + deep hopper fully visible, no algae/cloud/film; robotic vacuum on the floor; ruler shots confirm 12.0cm; liner normal. fc_loss/pred_error BLANK (span the reagent-era change). Reagent saga CLOSED.</t>
        </is>
      </c>
      <c r="W72" s="4010" t="inlineStr">
        <is>
          <t>smoke</t>
        </is>
      </c>
    </row>
    <row r="73">
      <c r="A73" s="3997" t="inlineStr">
        <is>
          <t>2026-07-18</t>
        </is>
      </c>
      <c r="B73" s="3998" t="inlineStr">
        <is>
          <t>12:15</t>
        </is>
      </c>
      <c r="C73" s="3998" t="inlineStr">
        <is>
          <t>TEST</t>
        </is>
      </c>
      <c r="D73" s="3999" t="n"/>
      <c r="E73" s="3999" t="n">
        <v>15.8</v>
      </c>
      <c r="F73" s="3999" t="n">
        <v>0.4</v>
      </c>
      <c r="G73" s="3999" t="n">
        <v>1.8</v>
      </c>
      <c r="H73" s="3999" t="n"/>
      <c r="I73" s="4000" t="n"/>
      <c r="J73" s="4001" t="n"/>
      <c r="K73" s="4001" t="n"/>
      <c r="L73" s="4001" t="n"/>
      <c r="M73" s="3999" t="n"/>
      <c r="N73" s="3999" t="n"/>
      <c r="O73" s="3999" t="n"/>
      <c r="P73" s="4002" t="n">
        <v>0.59</v>
      </c>
      <c r="Q73" s="3999" t="n"/>
      <c r="R73" s="3999" t="n">
        <v>78</v>
      </c>
      <c r="S73" s="3999" t="n">
        <v>11.7</v>
      </c>
      <c r="T73" s="1047" t="inlineStr">
        <is>
          <t>Overcast + smoke haze returned (John's obs); rain moving in - rain rings visible on the surface in today's photos. Feed: partly cloudy 78F, 70% RH, feed sun 5.8h of 7h daylight (clear-sky - can't see the smoke/overcast, so Sun left BLANK); high 79F, ~0.89in precip (ongoing, provisional), UV max 5.1. dose.py bucket: rain.</t>
        </is>
      </c>
      <c r="U73" s="3998" t="inlineStr">
        <is>
          <t>2026-07-18_1.jpg;2026-07-18_2.jpg;2026-07-18_3.jpg;2026-07-18_4.jpg;2026-07-18_5.jpg</t>
        </is>
      </c>
      <c r="V73" s="1047" t="inlineStr">
        <is>
          <t>12:15 PM. FIRST clean real-FC loss since the reagent saga: 17.6 -&gt; 15.8 with no dose = 1.8 ppm/24h. PREDICTION TEST (called before seeing the numbers): predicted 15.5, actual 15.8, err +0.3 -- while dose.py's model would have said 14.1 (err +1.7). That's a 3rd signal that l24_sunny=3.5 runs ~2x hot (pre-smoke clear week ~1.7 ppm/day; today 1.8; smoke days ~0.2). NOT retuning yet -- smoke confounds all three; 7/19 is forecast genuinely sunny (12.7h sun, no rain), so 7/19-&gt;7/20 should be the first clean sunny pair to judge on. NO DOSE tonight: FC 15.8 is above aim 14; ~2 ppm expected loss puts tomorrow ~13.8, right at aim and well clear of floor 10. CC 0.4 (up from 0.2) -- WATCH: overcast/smoke means less UV to burn chloramines, but FC is high which should handle it; flag if it holds &gt;=0.5. LEVEL/VOLUME (new method): 12.0 -&gt; 11.7 cm = -0.3 cm x ~196 = ~-59 gal net evaporation (low, consistent with overcast + 70% RH). Current volume ~30,640 gal; shallow ~34.4 in, ~1.6 in below full. FORECAST: 7-day precip 1.77 in ~= 884 gal into the pool (rain today, dry+sunny 7/19-7/20, more rain 7/21-7/22) -- that roughly REFILLS the ~790 gal deficit, so NO top-off needed; only modest excess beyond full, minimal CYA dilution. PHOTOS(5): water clear, bottom + deep hopper visible under flat overcast light, rain rings on surface, no algae/cloudiness; skimmer ruler still firmly adhered (POOL.md adhesive watch item). INCIDENT+FIX: file_photos.py re-dated 88 already-dated .jpeg photos to today -- its 'already dated' guard regex only matched .jpg, so every .jpeg in the archive looked like a fresh camera file. All 88 restored from git (nothing lost); today's 5 photos intact and renumbered 1-5. Script fixed: guard now covers all image extensions, plus a MAX_AUTO=25 bulk-rename abort with a preview.</t>
        </is>
      </c>
      <c r="W73" s="4003" t="inlineStr">
        <is>
          <t>smoke</t>
        </is>
      </c>
    </row>
    <row r="74">
      <c r="A74" s="3969" t="inlineStr">
        <is>
          <t>2026-07-19</t>
        </is>
      </c>
      <c r="B74" s="3970" t="inlineStr">
        <is>
          <t>12:30</t>
        </is>
      </c>
      <c r="C74" s="3970" t="inlineStr">
        <is>
          <t>TEST</t>
        </is>
      </c>
      <c r="D74" s="3971" t="n"/>
      <c r="E74" s="3971" t="n">
        <v>11.6</v>
      </c>
      <c r="F74" s="3971" t="n">
        <v>0.4</v>
      </c>
      <c r="G74" s="3971" t="n">
        <v>4.2</v>
      </c>
      <c r="H74" s="3971" t="n"/>
      <c r="I74" s="3972" t="n"/>
      <c r="J74" s="3973" t="n"/>
      <c r="K74" s="3973" t="n"/>
      <c r="L74" s="3973" t="n"/>
      <c r="M74" s="3971" t="n"/>
      <c r="N74" s="3971" t="n"/>
      <c r="O74" s="3971" t="n">
        <v>13.3</v>
      </c>
      <c r="P74" s="3974" t="n">
        <v>0.02</v>
      </c>
      <c r="Q74" s="3971" t="n"/>
      <c r="R74" s="3971" t="n">
        <v>78</v>
      </c>
      <c r="S74" s="3971" t="n">
        <v>16.3</v>
      </c>
      <c r="T74" s="813" t="inlineStr">
        <is>
          <t>Clear and genuinely sunny (photos: sharp shadows, strong caustics); smoke appears to have cleared. Feed: clear now, 75F, 55% RH; sun 13.3h (measured), high 77F, 0.02in precip, UV max 7.6. dose.py bucket: sunny.</t>
        </is>
      </c>
      <c r="U74" s="3970" t="inlineStr">
        <is>
          <t>2026-07-19_1.jpg;2026-07-19_2.jpg;2026-07-19_3.jpg;2026-07-19_4.jpg;2026-07-19_5.jpg;2026-07-19_6.jpg</t>
        </is>
      </c>
      <c r="V74" s="813" t="inlineStr">
        <is>
          <t>12:30 PM. FC 11.6 (58 drops) -- a BIG demand day. Level-corrected decomposition: yesterday 15.8 @ ~30,594 gal; rain added ~902 gal -&gt; ~31,496 gal, so dilution alone accounts for only 0.45 ppm (15.8 -&gt; 15.35). Real CHEMICAL loss = 15.35 - 11.6 = 3.75 ppm/24h. (FC loss column shows the raw 4.2 per its definition; 0.45 of that was dilution.) SAMPLE-LOCATION TEST (John's question): first sample deep-end beside the ladder = 58 drops; immediate mid-pool re-sample (same side) = 57 drops. 0.2 ppm apart = ONE drop = the test's own resolution -&gt; the pool mixes well and sample location does NOT materially matter; the low FC is genuine, not an artifact. PREDICTION MISS: predicted 13.8, actual 11.6 (-2.2). This CORRECTS the 'l24_sunny runs ~2x hot' lean -- dilution-corrected daily losses now read 1.7 / 0.2 / 1.8 / 3.75, i.e. genuinely noisy demand, matching POOL.md's original finding of ~3 ppm background +/- large scatter. Do NOT retune l24 off a handful of points. Loss also ran BACKWARDS vs sun: the low-sun rainy day (3.5h) lost 3.75 while the high-sun day (12.0h) lost 1.8 -- consistent with demand being driven by organic load (rain washing debris in + smoke deposition), not UV. WATER/RAIN: pool now ~31,500 gal, essentially FULL (16.3 cm vs the ~15.8 cm full mark) -- no top-off needed, and further rain overflows, which usefully dilutes CYA. NOTE: the feed recorded only 0.59in for 7/18 but the pool gained ~902 gal = 1.81in equivalent (~3x) -- either a localised downpour the grid missed or deck runoff draining in. The RULER is ground truth for the pool's water balance; the feed under-reports what actually arrives. CYA likely diluted ~144 -&gt; ~140; recheck due (last anchor 7/12). CC 0.4 steady. PHOTOS(6): bright sun, water crystal clear bottom-to-end, no algae/cloudiness. DOSE PLAN: 1.5 gal this evening -&gt; projected ~13.7 next noon.</t>
        </is>
      </c>
      <c r="W74" s="3975" t="inlineStr">
        <is>
          <t>storm</t>
        </is>
      </c>
    </row>
    <row r="75">
      <c r="A75" s="3976" t="inlineStr">
        <is>
          <t>2026-07-19</t>
        </is>
      </c>
      <c r="B75" s="3977" t="inlineStr">
        <is>
          <t>12:45</t>
        </is>
      </c>
      <c r="C75" s="3977" t="inlineStr">
        <is>
          <t>TEST</t>
        </is>
      </c>
      <c r="D75" s="3978" t="n"/>
      <c r="E75" s="3978" t="n">
        <v>11.4</v>
      </c>
      <c r="F75" s="3978" t="n"/>
      <c r="G75" s="3978" t="n"/>
      <c r="H75" s="3978" t="n"/>
      <c r="I75" s="3979" t="n"/>
      <c r="J75" s="3980" t="n"/>
      <c r="K75" s="3980" t="n"/>
      <c r="L75" s="3980" t="n"/>
      <c r="M75" s="3978" t="n"/>
      <c r="N75" s="3978" t="n"/>
      <c r="O75" s="3978" t="n"/>
      <c r="P75" s="3981" t="n"/>
      <c r="Q75" s="3978" t="n"/>
      <c r="R75" s="3978" t="n"/>
      <c r="S75" s="3978" t="n"/>
      <c r="T75" s="820" t="n"/>
      <c r="U75" s="3977" t="n"/>
      <c r="V75" s="820" t="inlineStr">
        <is>
          <t>Mid-pool QC re-sample (same side as the ladder), taken immediately after the 12:30 reading to test whether sample location matters. 57 drops = FC 11.4 vs 11.6 at the ladder -- one drop apart, i.e. inside the test's own resolution. CONCLUSION: the pool is well mixed and sample location does not materially bias the reading, so past readings weren't location-skewed and we needn't fuss over the spot (still: elbow-deep, pump running). Logged as its own TEST row per the multi-test convention; the 12:30 reading remains the canonical noon value for the dashboard.</t>
        </is>
      </c>
      <c r="W75" s="3982" t="n"/>
    </row>
    <row r="76">
      <c r="A76" s="3983" t="inlineStr">
        <is>
          <t>2026-07-19</t>
        </is>
      </c>
      <c r="B76" s="3984" t="inlineStr">
        <is>
          <t>20:10</t>
        </is>
      </c>
      <c r="C76" s="3984" t="inlineStr">
        <is>
          <t>DOSE</t>
        </is>
      </c>
      <c r="D76" s="3985" t="n"/>
      <c r="E76" s="3985" t="n"/>
      <c r="F76" s="3985" t="n"/>
      <c r="G76" s="3985" t="n"/>
      <c r="H76" s="3985" t="n">
        <v>13.9</v>
      </c>
      <c r="I76" s="3986" t="n"/>
      <c r="J76" s="3987" t="n"/>
      <c r="K76" s="3987" t="n"/>
      <c r="L76" s="3987" t="n"/>
      <c r="M76" s="3985" t="n">
        <v>1.5</v>
      </c>
      <c r="N76" s="3985" t="n">
        <v>30</v>
      </c>
      <c r="O76" s="3985" t="n"/>
      <c r="P76" s="3988" t="n"/>
      <c r="Q76" s="3985" t="n"/>
      <c r="R76" s="3985" t="n"/>
      <c r="S76" s="3985" t="n"/>
      <c r="T76" s="827" t="n"/>
      <c r="U76" s="3984" t="n"/>
      <c r="V76" s="827" t="inlineStr">
        <is>
          <t>8:10 PM, 1.5 gal poured (noon FC 11.6, aim 14). FIRST dose on the flattened l24 (all buckets 3.5) and the corrected volume/response (~31,500 gal at 16.3 cm, 3.84 ppm/gal). Projected next-noon FC 13.9 -- that's the model's UNCONDITIONAL forecast, since l24 3.5 is the all-days mean and includes event days. Claude's CONDITIONAL forecast: if tomorrow logs as 'quiet', the load-class baseline is 3.07 +/- 0.61, giving ~14.3. Scoring both tomorrow is the first direct test of whether the Load class beats the flat mean -- pred_error will be scored against the logged 13.9 per convention. Tomorrow's forecast: sunny 14.0h, high 80F, no rain. Season total now 30.0 gal. REMEMBER at tomorrow's noon test: record the Load flag for what the pool experienced this evening/overnight.</t>
        </is>
      </c>
      <c r="W76" s="3989" t="n"/>
    </row>
    <row r="77">
      <c r="A77" s="3997" t="inlineStr">
        <is>
          <t>2026-07-20</t>
        </is>
      </c>
      <c r="B77" s="3998" t="inlineStr">
        <is>
          <t>12:20</t>
        </is>
      </c>
      <c r="C77" s="3998" t="inlineStr">
        <is>
          <t>TEST</t>
        </is>
      </c>
      <c r="D77" s="3999" t="n"/>
      <c r="E77" s="3999" t="n">
        <v>16.8</v>
      </c>
      <c r="F77" s="3999" t="n">
        <v>0</v>
      </c>
      <c r="G77" s="3999" t="n">
        <v>0.6</v>
      </c>
      <c r="H77" s="3999" t="n"/>
      <c r="I77" s="4000" t="n">
        <v>2.9</v>
      </c>
      <c r="J77" s="4001" t="n"/>
      <c r="K77" s="4001" t="n"/>
      <c r="L77" s="4001" t="n"/>
      <c r="M77" s="3999" t="n"/>
      <c r="N77" s="3999" t="n"/>
      <c r="O77" s="3999" t="n">
        <v>13</v>
      </c>
      <c r="P77" s="4002" t="n">
        <v>0</v>
      </c>
      <c r="Q77" s="3999" t="n"/>
      <c r="R77" s="3999" t="n">
        <v>78</v>
      </c>
      <c r="S77" s="3999" t="n">
        <v>15.8</v>
      </c>
      <c r="T77" s="1047" t="inlineStr">
        <is>
          <t>Clear and sunny, 74F, 48% RH; sun 13.0h measured, high 76F, 0.00in precip, UV max 7.6. dose.py bucket: sunny. (Loss window 7/19 noon -&gt; 7/20 noon spanned two very sunny days: 13.2h then 13.0h.)</t>
        </is>
      </c>
      <c r="U77" s="3998" t="inlineStr">
        <is>
          <t>2026-07-20_1.jpg;2026-07-20_2.jpg;2026-07-20_3.jpg;2026-07-20_4.jpg</t>
        </is>
      </c>
      <c r="V77" s="1047" t="inlineStr">
        <is>
          <t>12:20 PM. FC 16.8 (84 drops), CC 0.0. Both forecasts missed LOW: Claude predicted 14.2 (load-class 'quiet' 3.07), dose.py predicted 13.9 (flat 3.5); errors +2.6 and +2.9. Mass balance: 11.6 @ 31,496 gal + 1.5 gal (=+5.74 ppm) - loss = 16.8 @ 31,398 gal (level 16.3-&gt;15.8 = -98 gal evaporation, NO rain so no dilution) =&gt; real loss 0.59 ppm/24h, the lowest non-smoke loss on record. Prediction record now +0.3 / -2.2 / +2.6. EXPLANATION (accepted): demand genuinely collapsed. The storm organics that drove 7/18-&gt;7/19's 3.75 ppm were fully oxidised; CC rising to 0.4 then falling to 0.0 tracks exactly that (chloramines formed, then burned off by the high FC), leaving almost nothing to consume chlorine. The window was VERY sunny (13.2h then 13.0h) and still lost ~nothing -- strong evidence that at CYA 144 UV is almost fully shielded and demand here is essentially ALL organic load, not sun. A measurement-error explanation was raised and is WITHDRAWN: John confirmed his technique (continuous swirl, stop at the FIRST clear, never re-add; the pink does NOT return in this pool/kit), so the 'faded high-CYA endpoint' mechanism does not apply -- see POOL.md Testing method, do not re-raise it. IMPORTANT REFRAME: today is the FIRST POSITIVELY-LOGGED 'quiet' day and it lost 0.59. The other five 'quiet' entries (7/04-7/09) were Claude's inferred backfill and may well have had unrecorded load -- so the 3.07 'quiet baseline' is likely an artifact of quietly-loaded days, and the true clean-water baseline may be far lower (~0.5-1.5). Treat the quiet class as effectively n=1 until more days are positively tagged. NO DOSE: 16.8 is above aim 14 but inside safe-swim (~19); tomorrow with no dose discriminates -- ~13.8 = demand returned, ~16.2 = baseline really is near zero.</t>
        </is>
      </c>
      <c r="W77" s="4003" t="inlineStr">
        <is>
          <t>quiet</t>
        </is>
      </c>
    </row>
    <row r="78">
      <c r="A78" s="3969" t="inlineStr">
        <is>
          <t>2026-07-21</t>
        </is>
      </c>
      <c r="B78" s="3970" t="inlineStr">
        <is>
          <t>12:00</t>
        </is>
      </c>
      <c r="C78" s="3970" t="inlineStr">
        <is>
          <t>TEST</t>
        </is>
      </c>
      <c r="D78" s="3971" t="n"/>
      <c r="E78" s="3971" t="n">
        <v>13.4</v>
      </c>
      <c r="F78" s="3971" t="n">
        <v>0.4</v>
      </c>
      <c r="G78" s="3971" t="n">
        <v>3.4</v>
      </c>
      <c r="H78" s="3971" t="n"/>
      <c r="I78" s="3972" t="n"/>
      <c r="J78" s="3973" t="n"/>
      <c r="K78" s="3973" t="n"/>
      <c r="L78" s="3973" t="n"/>
      <c r="M78" s="3971" t="n"/>
      <c r="N78" s="3971" t="n"/>
      <c r="O78" s="3971" t="n">
        <v>1.8</v>
      </c>
      <c r="P78" s="3974" t="n">
        <v>1.53</v>
      </c>
      <c r="Q78" s="3971" t="n"/>
      <c r="R78" s="3971" t="n">
        <v>76</v>
      </c>
      <c r="S78" s="3971" t="n">
        <v>15</v>
      </c>
      <c r="T78" s="813" t="inlineStr">
        <is>
          <t>Overcast, storm imminent and rain already starting (rain rings visible in today's photos). 74F, 80% RH; sun only 1.8h measured; high 76F; UV 6.2. Precip 1.53in measured so far, 1.93in forecast for the day -- PROVISIONAL, still accumulating; reconcile tomorrow from the ruler (level delta is ground truth for what actually lands in the pool).</t>
        </is>
      </c>
      <c r="U78" s="3970" t="inlineStr">
        <is>
          <t>2026-07-21_1.jpg;2026-07-21_2.jpg;2026-07-21_3.jpg;2026-07-21_4.jpg;2026-07-21_5.jpg</t>
        </is>
      </c>
      <c r="V78" s="813" t="inlineStr">
        <is>
          <t>12:00 PM. FC 13.4 (67 drops), CC 0.4, temp down to 76F. Mass balance: level 15.8 -&gt; 15.0 cm = -157 gal evaporation, NO rain yet at noon, so no dilution -- real chemical loss 3.48 ppm/24h (raw FC drop 3.4; the mass figure is slightly higher because evaporation concentrated what was left). *** FLAT-3.5 MODEL WAS RIGHT: predicted 13.3, actual 13.4, error +0.1 *** -- the best hit yet, and it vindicates flattening l24 rather than chasing structure. *** LOW-DEMAND WATCH RESOLVED = NOT SUPPORTED: *** yesterday's 0.59 looked like it might be a new low-demand regime (n=2 with 1.83); today's 3.48 breaks that cleanly. Correctly logged as a WATCH and NOT acted on -- exactly the right call, and the same discipline should apply to future n=2 patterns. Quiet class is now n=7 spanning 0.59-4.02: a ~3.4 ppm spread within a single load class, which is further evidence that daily loss is not predictable from anything we record. CC 0.0 -&gt; 0.4: CC tracks organic load CONCURRENTLY (chloramines form while chlorine is reacting) but has shown NO predictive value -- 0.4 preceded a high-loss day, then a low-loss day, and 0.0 preceded a high-loss day. Useful as a diagnostic of what just happened, useless as a forecast; do not build a predictor on it. Evaporation -157 gal on an overcast day vs -98 on a sunny one, so the level signal carries real noise (likely wind ahead of the front) -- treat single-day level deltas as +/- a few tens of gallons. STORM AHEAD: pool is 0.81 cm (~159 gal) below full, and ~1.9in of rain would put ~960 gal in, so expect it to fill and overflow ~800 gal -&gt; roughly -0.4 ppm of dilution, plus a possible organic wash-in demand spike (the 7/18 storm window ran 3.80). DOSE PLAN: 1.0 gal (model rec) -&gt; even if storm demand runs to ~5 ppm we land ~11.8, comfortably above floor 10. SAFETY: do not pour during active lightning -- skipping a night is acceptable here (undosed lands ~9.5, only marginally under floor at CYA 144).</t>
        </is>
      </c>
      <c r="W78" s="3975" t="inlineStr">
        <is>
          <t>quiet</t>
        </is>
      </c>
    </row>
    <row r="79">
      <c r="A79" s="3983" t="inlineStr">
        <is>
          <t>2026-07-21</t>
        </is>
      </c>
      <c r="B79" s="3984" t="inlineStr">
        <is>
          <t>12:25</t>
        </is>
      </c>
      <c r="C79" s="3984" t="inlineStr">
        <is>
          <t>DOSE</t>
        </is>
      </c>
      <c r="D79" s="3985" t="n"/>
      <c r="E79" s="3985" t="n"/>
      <c r="F79" s="3985" t="n"/>
      <c r="G79" s="3985" t="n"/>
      <c r="H79" s="3985" t="n">
        <v>13.7</v>
      </c>
      <c r="I79" s="3986" t="n"/>
      <c r="J79" s="3987" t="n"/>
      <c r="K79" s="3987" t="n"/>
      <c r="L79" s="3987" t="n"/>
      <c r="M79" s="3985" t="n">
        <v>1</v>
      </c>
      <c r="N79" s="3985" t="n">
        <v>31</v>
      </c>
      <c r="O79" s="3985" t="n"/>
      <c r="P79" s="3988" t="n"/>
      <c r="Q79" s="3985" t="n"/>
      <c r="R79" s="3985" t="n"/>
      <c r="S79" s="3985" t="n"/>
      <c r="T79" s="827" t="n"/>
      <c r="U79" s="3984" t="n"/>
      <c r="V79" s="827" t="inlineStr">
        <is>
          <t>12:25 PM, 1.0 gal poured. *** MIDDAY DOSE -- deliberate exception to the evening routine *** (only the 2nd non-evening dose of the season; the 7/11 1 PM dose was the other). Rationale: a storm was arriving, so pouring in light rain at midday was safer than threading a gap in a thunderstorm at 8 PM, and the two conditions that actually matter were both met -- pump running (7 AM-10 PM) so it mixes, and storm-dark overcast (only 1.8h sun all day, UV suppressed) so there is little UV to burn it off, which is the whole reason the routine prefers evening. Timing cost checked and negligible: dosing before the rain vs after changes tomorrow's FC by ~0.1 ppm, because the expected ~800 gal overflow dilutes the whole pool ~2.5% either way. Projected next-noon FC 13.7 (unadjusted -- our own analysis shows sun does not predict loss here, r=+0.16 n.s., so no daylight penalty was applied despite ~7 extra hours of exposure). *** CAVEAT FOR SCORING: this is a midday dose under an incoming storm, so if tomorrow misses, weigh dose-timing and storm wash-in BEFORE concluding the model is wrong. *** Season total 31.0 gal. Reconcile actual rainfall tomorrow from the ruler (level delta is ground truth); pool was 0.81 cm (~159 gal) below full at noon, so expect it to fill and overflow.</t>
        </is>
      </c>
      <c r="W79" s="3989" t="n"/>
    </row>
    <row r="80">
      <c r="A80" s="3955" t="inlineStr">
        <is>
          <t>2026-07-22</t>
        </is>
      </c>
      <c r="B80" s="3956" t="inlineStr">
        <is>
          <t>11:55</t>
        </is>
      </c>
      <c r="C80" s="3956" t="inlineStr">
        <is>
          <t>TEST</t>
        </is>
      </c>
      <c r="D80" s="3957" t="n"/>
      <c r="E80" s="3957" t="n">
        <v>16.6</v>
      </c>
      <c r="F80" s="3957" t="n">
        <v>0.2</v>
      </c>
      <c r="G80" s="3957" t="n">
        <v>0.6</v>
      </c>
      <c r="H80" s="3957" t="n"/>
      <c r="I80" s="3958" t="n">
        <v>2.9</v>
      </c>
      <c r="J80" s="3959" t="n"/>
      <c r="K80" s="3959" t="n"/>
      <c r="L80" s="3959" t="n"/>
      <c r="M80" s="3957" t="n"/>
      <c r="N80" s="3957" t="n"/>
      <c r="O80" s="3957" t="n">
        <v>8.4</v>
      </c>
      <c r="P80" s="3960" t="n">
        <v>0.19</v>
      </c>
      <c r="Q80" s="3957" t="n"/>
      <c r="R80" s="3957" t="n">
        <v>77</v>
      </c>
      <c r="S80" s="3957" t="n">
        <v>17</v>
      </c>
      <c r="T80" s="624" t="inlineStr">
        <is>
          <t>Clearing after a storm that largely missed -- only 0.189in measured (1.93in had been forecast). 8.4h sun, high 82F. Level rose 15.0 -&gt; 17.0 cm.</t>
        </is>
      </c>
      <c r="U80" s="3956" t="n"/>
      <c r="V80" s="624" t="inlineStr">
        <is>
          <t>[CORRECTED 2026-07-23: FC set to the clean same-spot re-test value 16.6; the raw 11:55 reading of 17.6 carried the ~0.9 ppm bulk-add bias -- see the 12:35/12:50 QC rows. fc_loss/pred_error recomputed off 16.6.] 11:55 AM. FC 17.6 (88 drops), CC 0.2. Model predicted 13.7, Claude predicted 13.5; actual 17.6 = miss of +3.9/+4.1, the largest yet. *** PHYSICALLY INCONSISTENT: *** mass balance says chlorine ROSE. 31,241 gal x 13.4 = 418,629 ppm-gal, + 1.0 gal (max 125,000 for fresh 12.5%) = 543,629 available; observed 31,634 x 17.6 = 556,751. That is ~13,100 ppm-gal (10%) MORE than one gallon can deliver even with ZERO 24h demand. Magnitude in context: ~2 drops spread across the two readings, i.e. the edge of the test's resolution -- NOT a technique problem (John's method is fixed and reproduces; see the standing rule in Testing method). *** VOLUME TESTED AND EXONERATED: *** solved for the volume that makes dose-day and no-dose-day losses agree across all 12 pairs. At 31,400 the gap is only +0.33 ppm, and the loss scatter is IDENTICAL (sd ~1.57) anywhere from 26,000 to 33,000 gal -- volume explains NONE of the variance, and the aggregate mildly prefers a LARGER pool (~33,000), the opposite of what today alone implies (~28,100). CONCLUSION: today is an OUTLIER, not a parameter error; volume stays 31,400 and l24 stays 3.5. Do not re-tune on this. Rain: feed 0.189in but pool gained 393 gal = ~0.79in equivalent -- the SECOND time (7/18: 0.59in vs 1.81in) the pool has gained 3-4x grid rainfall, consistent with deck runoff draining in; n=2, watch it. No overflow (level rose and held at 17.0, above the 15.81 full mark). NO DOSE: 17.6 is above aim 14, inside safe-swim ~19, CC 0.2 low, water clear. NEXT: John photographing the jug label (strength/size is the one parameter never verified), then the controlled dose-response test on the last gallon of the current case to measure ppm/gal directly.</t>
        </is>
      </c>
      <c r="W80" s="3961" t="inlineStr">
        <is>
          <t>storm</t>
        </is>
      </c>
    </row>
    <row r="81">
      <c r="A81" s="3990" t="inlineStr">
        <is>
          <t>2026-07-22</t>
        </is>
      </c>
      <c r="B81" s="3991" t="inlineStr">
        <is>
          <t>12:35</t>
        </is>
      </c>
      <c r="C81" s="3991" t="inlineStr">
        <is>
          <t>TEST</t>
        </is>
      </c>
      <c r="D81" s="3992" t="n"/>
      <c r="E81" s="3992" t="n">
        <v>15.8</v>
      </c>
      <c r="F81" s="3992" t="n"/>
      <c r="G81" s="3992" t="n"/>
      <c r="H81" s="3992" t="n"/>
      <c r="I81" s="3993" t="n"/>
      <c r="J81" s="3994" t="n"/>
      <c r="K81" s="3994" t="n"/>
      <c r="L81" s="3994" t="n"/>
      <c r="M81" s="3992" t="n"/>
      <c r="N81" s="3992" t="n"/>
      <c r="O81" s="3992" t="n"/>
      <c r="P81" s="3995" t="n"/>
      <c r="Q81" s="3992" t="n"/>
      <c r="R81" s="3992" t="n"/>
      <c r="S81" s="3992" t="n"/>
      <c r="T81" s="659" t="n"/>
      <c r="U81" s="3991" t="n"/>
      <c r="V81" s="659" t="inlineStr">
        <is>
          <t>QC re-test #1 -- GREEN spot (opposite long side, mid-pool), slow deliberate drops throughout, NO bulk-add. 79 drops. Paired with the 12:50 red-spot test to separate LOCATION from TECHNIQUE. vs red/slow (83 drops) = 4 drops = 0.80 ppm cross-pool difference; decay over the ~15 min between them is negligible (~0.15 drops). Note this is a genuinely NEW measurement: the 7/19 split test (58 vs 57) compared two spots on the SAME side, so it could not have detected a cross-pool gradient. Since John always samples the red spot, this is a CONSTANT offset that cancels out of day-to-day loss math -- consistency of location matters more than which location is 'right'. Keep using red.</t>
        </is>
      </c>
      <c r="W81" s="3996" t="inlineStr">
        <is>
          <t>storm</t>
        </is>
      </c>
    </row>
    <row r="82">
      <c r="A82" s="3962" t="inlineStr">
        <is>
          <t>2026-07-22</t>
        </is>
      </c>
      <c r="B82" s="3963" t="inlineStr">
        <is>
          <t>12:50</t>
        </is>
      </c>
      <c r="C82" s="3963" t="inlineStr">
        <is>
          <t>TEST</t>
        </is>
      </c>
      <c r="D82" s="3964" t="n"/>
      <c r="E82" s="3964" t="n">
        <v>16.6</v>
      </c>
      <c r="F82" s="3964" t="n"/>
      <c r="G82" s="3964" t="n"/>
      <c r="H82" s="3964" t="n"/>
      <c r="I82" s="3965" t="n"/>
      <c r="J82" s="3966" t="n"/>
      <c r="K82" s="3966" t="n"/>
      <c r="L82" s="3966" t="n"/>
      <c r="M82" s="3964" t="n"/>
      <c r="N82" s="3964" t="n"/>
      <c r="O82" s="3964" t="n"/>
      <c r="P82" s="3967" t="n"/>
      <c r="Q82" s="3964" t="n"/>
      <c r="R82" s="3964" t="n"/>
      <c r="S82" s="3964" t="n"/>
      <c r="T82" s="631" t="n"/>
      <c r="U82" s="3963" t="n"/>
      <c r="V82" s="631" t="inlineStr">
        <is>
          <t>QC re-test #2 -- RED spot (John's regular spot, same as the 11:55 noon test), slow deliberate drops throughout, NO bulk-add. 83 drops. *** THIS IS THE CORRECTED CANONICAL VALUE FOR 2026-07-22 -- use 16.6, not the 11:55 reading of 17.6, as the baseline for tomorrow's loss. *** TECHNIQUE BIAS QUANTIFIED: same spot, 55 min apart, 88 drops (bulk-add) vs 83 (slow) = 5.0 drops raw; decay over 55 min accounts for only 0.6 drops, so bulk-adding ~50 drops at once reads +4.4 drops = +0.87 ppm HIGH. Mechanism: rapidly squeezed drops are smaller than slow gravity-formed ones, so more are needed to reach the endpoint. *** THIS RESOLVES THE 7/22 ANOMALY: *** with 16.6 the 24h mass balance gives loss +0.59 ppm (physical, and identical to 7/19-&gt;7/20) instead of -0.42 ppm (impossible). NOT a pool-chemistry mystery and NOT a volume error -- a titration artefact. IMPLICATION: because the bulk-add was used 'often' but not always, it injected ~0.9 ppm of VARIABLE bias into readings, which propagates to ~+/-1.2 ppm on every computed daily loss -- comparable to the entire observed loss scatter (sd 1.57). Much of the 'unpredictable demand' we chased for a week may be measurement noise. PROCEDURE NOW STANDARDISED: all drops slow and deliberate, bottle vertical, no bulk-adding, same (red) spot. FALSIFIABLE PREDICTION: loss scatter should fall from ~1.57 toward ~1.0 or below over the next 1-2 weeks; if it does not, the demand variance is real and the measurement is exonerated.</t>
        </is>
      </c>
      <c r="W82" s="3968" t="inlineStr">
        <is>
          <t>storm</t>
        </is>
      </c>
    </row>
    <row r="83">
      <c r="A83" s="4004" t="inlineStr">
        <is>
          <t>2026-07-23</t>
        </is>
      </c>
      <c r="B83" s="4005" t="inlineStr">
        <is>
          <t>12:15</t>
        </is>
      </c>
      <c r="C83" s="4005" t="inlineStr">
        <is>
          <t>TEST</t>
        </is>
      </c>
      <c r="D83" s="4006" t="n"/>
      <c r="E83" s="4006" t="n">
        <v>15.6</v>
      </c>
      <c r="F83" s="4006" t="n">
        <v>0.4</v>
      </c>
      <c r="G83" s="4006" t="n">
        <v>1</v>
      </c>
      <c r="H83" s="4006" t="n"/>
      <c r="I83" s="4007" t="n"/>
      <c r="J83" s="4008" t="n"/>
      <c r="K83" s="4008" t="n"/>
      <c r="L83" s="4008" t="n"/>
      <c r="M83" s="4006" t="n"/>
      <c r="N83" s="4006" t="n"/>
      <c r="O83" s="4006" t="n"/>
      <c r="P83" s="4009" t="n">
        <v>0</v>
      </c>
      <c r="Q83" s="4006" t="n"/>
      <c r="R83" s="4006" t="n">
        <v>78</v>
      </c>
      <c r="S83" s="4006" t="n">
        <v>16.5</v>
      </c>
      <c r="T83" s="1199" t="inlineStr">
        <is>
          <t>Beautiful clear sunny day (John), quiet. weather.py: clear, 75F, 49% RH, sun 6.2h of 7h daylight so far at noon (89%), high 77F, 0.00in precip, UV 7.5. dose.py bucket sunny. Sun left blank (full-day total not in yet; sun is not a loss predictor here anyway).</t>
        </is>
      </c>
      <c r="U83" s="4005" t="inlineStr">
        <is>
          <t>2026-07-23_1.jpg;2026-07-23_2.jpg;2026-07-23_3.jpg;2026-07-23_4.jpg;2026-07-23_5.jpg</t>
        </is>
      </c>
      <c r="V83" s="1199" t="inlineStr">
        <is>
          <t>12:15 PM. FC 15.6 (78 drops), CC 0.4. SLOW deliberate drops at the usual red spot -- the new standard, first FULLY clean same-technique loss measurement. Mass balance 7/22 (corrected 16.6) -&gt; 7/23 (15.6), no dose, level 17.0-&gt;16.5 (-98 gal evap, no rain): real loss = 1.05 ppm/24h (raw drop 1.0). This is the 2nd positively-logged clean quiet day at LOW loss (7/19-&gt;20 = 0.59); both far below the flat l24=3.5, which over-estimated today by 2.4 ppm. Pattern strengthening that genuine quiet-day demand here is ~1 ppm/day and the 3.54 dataset mean was inflated by event days + bulk-add noise. *** NOT retuning l24 -- n=2 clean, and I have over-fit this repeatedly; need several more clean quiet days first. *** Handling it by policy, not model: FC 15.6 is above aim 14, and at ~1 ppm/day it coasts ~15.6/14.6/13.6/12.6 over the next few quiet days, so NO dose for several days -- reactive dosing when FC nears the floor naturally right-sizes for low demand with no model change. Scatter-test watch (set 7/22, predicting scatter falls toward ~1.0 as bulk-add is removed): first two clean quiet losses 0.59 &amp; 1.05 are low and tight -- encouraging but far too few to judge; keep accumulating. CC 0.4, bouncing 0.0-0.4 all week with no trend, well under the 0.5 flag; high FC keeps it in check. Level 16.5 cm, above the 15.81 reference, pool full, no overflow (John's tape maxes at 17.0 -- getting close, needs a longer strip before the next big rain). PHOTOS(5): bright sun, sharp caustics, water crystal clear to the bottom, one small leaf, no algae/cloud. Dose-response test (last Austin's gal) still pending -- FC needs to drift to ~11-14 first, several days out at this loss rate.</t>
        </is>
      </c>
      <c r="W83" s="4010" t="inlineStr">
        <is>
          <t>quiet</t>
        </is>
      </c>
    </row>
    <row r="84">
      <c r="A84" s="3955" t="inlineStr">
        <is>
          <t>2026-07-24</t>
        </is>
      </c>
      <c r="B84" s="3956" t="inlineStr">
        <is>
          <t>12:20</t>
        </is>
      </c>
      <c r="C84" s="3956" t="inlineStr">
        <is>
          <t>TEST</t>
        </is>
      </c>
      <c r="D84" s="3957" t="n"/>
      <c r="E84" s="3957" t="n">
        <v>11.6</v>
      </c>
      <c r="F84" s="3957" t="n">
        <v>0.2</v>
      </c>
      <c r="G84" s="3957" t="n">
        <v>4</v>
      </c>
      <c r="H84" s="3957" t="n"/>
      <c r="I84" s="3958" t="n"/>
      <c r="J84" s="3959" t="n"/>
      <c r="K84" s="3959" t="n"/>
      <c r="L84" s="3959" t="n"/>
      <c r="M84" s="3957" t="n"/>
      <c r="N84" s="3957" t="n"/>
      <c r="O84" s="3957" t="n"/>
      <c r="P84" s="3960" t="n">
        <v>0</v>
      </c>
      <c r="Q84" s="3957" t="n"/>
      <c r="R84" s="3957" t="n">
        <v>78</v>
      </c>
      <c r="S84" s="3957" t="n">
        <v>15.8</v>
      </c>
      <c r="T84" s="624" t="inlineStr">
        <is>
          <t>Clear and sunny, 75F, 60% RH, sun 6.2h of 7h so far at noon, high 78F, 0.00in precip, UV 7.5. Loss window (7/23-&gt;7/24 noon) was two clear sunny days, no rain -- underlining that the big loss was NOT UV.</t>
        </is>
      </c>
      <c r="U84" s="3956" t="inlineStr">
        <is>
          <t>2026-07-24_1.jpg;2026-07-24_2.jpg;2026-07-24_3.jpg;2026-07-24_4.jpg;2026-07-24_5.jpg;2026-07-24_6.jpg</t>
        </is>
      </c>
      <c r="V84" s="624" t="inlineStr">
        <is>
          <t>12:20 PM. FC 11.6 (58 drops, slow technique), CC 0.2. Mass-balance loss 4.06 ppm/24h (15.6-&gt;11.6; level 16.5-&gt;15.8 = -137 gal evap, no rain). DOG EXPLANATION RETRACTED: the dog was in the pool ~25 SECONDS and AFTER the water sample was taken -- outside the loss window, NOT the cause. Claude jumped to the dog because it was visible in the photo, without checking timing (the recurring error; John caught it). Load corrected dog-&gt;QUIET. So this is a genuinely QUIET window (no rain, no storm, minimal use) that lost 4.06 ppm -- UNEXPLAINED, and not inventing a cause. This BREAKS the low-demand baseline leaned into 7/23: clean quiet days are now 0.59 / 1.05 / 4.06 = range 0.6-4.1, genuinely variable and NOT predictable from anything logged. Re-confirms the 7/20-7/21 conclusion (loss unpredictable; flat ~3.5 is the best available; operate reactively) that Claude had drifted from. 'dog' class weakens back to n=1 (7/10 6.89, cause now uncertain). CC 0.2 fine, water clear. DOSE: revert to model -- 1.5 gal (l24 3.5) -&gt; ~13.9 next noon; the earlier '1.0 gal for a quiet tomorrow' was based on the now-retracted low baseline.</t>
        </is>
      </c>
      <c r="W84" s="3961" t="inlineStr">
        <is>
          <t>quiet</t>
        </is>
      </c>
    </row>
    <row r="85">
      <c r="A85" s="3962" t="inlineStr">
        <is>
          <t>2026-07-24</t>
        </is>
      </c>
      <c r="B85" s="3963" t="inlineStr">
        <is>
          <t>19:55</t>
        </is>
      </c>
      <c r="C85" s="3963" t="inlineStr">
        <is>
          <t>DOSE</t>
        </is>
      </c>
      <c r="D85" s="3964" t="n"/>
      <c r="E85" s="3964" t="n"/>
      <c r="F85" s="3964" t="n"/>
      <c r="G85" s="3964" t="n"/>
      <c r="H85" s="3964" t="n">
        <v>13.9</v>
      </c>
      <c r="I85" s="3965" t="n"/>
      <c r="J85" s="3966" t="n"/>
      <c r="K85" s="3966" t="n"/>
      <c r="L85" s="3966" t="n"/>
      <c r="M85" s="3964" t="n">
        <v>1.5</v>
      </c>
      <c r="N85" s="3964" t="n">
        <v>32.5</v>
      </c>
      <c r="O85" s="3964" t="n"/>
      <c r="P85" s="3967" t="n"/>
      <c r="Q85" s="3964" t="n"/>
      <c r="R85" s="3964" t="n"/>
      <c r="S85" s="3964" t="n"/>
      <c r="T85" s="631" t="n"/>
      <c r="U85" s="3963" t="n"/>
      <c r="V85" s="631" t="inlineStr">
        <is>
          <t>7:55 PM, 1.5 gal poured (noon FC 11.6, aim 14). Back in the normal evening window (pump on until 10 PM, pool shaded after ~6:30). CASE BOUNDARY: this pour finished the last Austin's Pool Tec gallon plus ~0.5 gal of the first Champion case -- both 12.5%, so 3.84 ppm/gal either way and the mass balance is unaffected. Dose-response test deliberately SKIPPED tonight (a mixed-brand 1.5 gal pour is a poor before/after, and 1-gal resolution is only ~5%); run it once on a 1.5-2 gal night when settled into pure Champion stock -- now confirmatory only, since labels verified 12.5%/1 gal and both cases are ~4-5 weeks old. Projected next-noon FC 13.9 using flat l24 3.5. NOTE ON THE PREDICTION: after today, treat 3.5 as the honest average of a noisy process, not a forecast -- clean quiet-day losses run 0.59/1.05/4.06, so the plausible next-noon range is roughly 13-16.5. Dosed 1.5 rather than 1.0 precisely because loss can be ~4 on any day; the extra half gallon is buffer, and even a 4 ppm day lands ~13.4 (above floor 10). Season total 32.5 gal. OPEN LEAD: John will set up a trail cam in the next day or so to check for nocturnal wildlife (raccoon) using the pool -- a plausible, testable cause for the episodic unexplained spikes (a discrete overnight event fits a spike better than diffuse pollen/dust). If footage or dawn signs appear, add a 'wildlife' load tag and consider an evening test to split daytime vs overnight loss.</t>
        </is>
      </c>
      <c r="W85" s="3968" t="n"/>
    </row>
    <row r="86">
      <c r="A86" s="4004" t="inlineStr">
        <is>
          <t>2026-07-25</t>
        </is>
      </c>
      <c r="B86" s="4005" t="inlineStr">
        <is>
          <t>12:30</t>
        </is>
      </c>
      <c r="C86" s="4005" t="inlineStr">
        <is>
          <t>TEST</t>
        </is>
      </c>
      <c r="D86" s="4006" t="n"/>
      <c r="E86" s="4006" t="n">
        <v>14.6</v>
      </c>
      <c r="F86" s="4006" t="n">
        <v>0.3</v>
      </c>
      <c r="G86" s="4006" t="n">
        <v>2.8</v>
      </c>
      <c r="H86" s="4006" t="n"/>
      <c r="I86" s="4007" t="n">
        <v>0.7</v>
      </c>
      <c r="J86" s="4008" t="n"/>
      <c r="K86" s="4008" t="n"/>
      <c r="L86" s="4008" t="n"/>
      <c r="M86" s="4006" t="n"/>
      <c r="N86" s="4006" t="n"/>
      <c r="O86" s="4006" t="n">
        <v>13</v>
      </c>
      <c r="P86" s="4009" t="n">
        <v>0</v>
      </c>
      <c r="Q86" s="4006" t="n"/>
      <c r="R86" s="4006" t="n">
        <v>78</v>
      </c>
      <c r="S86" s="4006" t="n">
        <v>14.9</v>
      </c>
      <c r="T86" s="1199" t="inlineStr">
        <is>
          <t>Clear and sunny, 77F, 55% RH, sun 6.2h of 7h so far at noon, high 77F, 0.00in precip, UV 7.6. Loss window (7/24-&gt;7/25) sunny and dry throughout; 7/24 measured 13.0 sun hrs.</t>
        </is>
      </c>
      <c r="U86" s="4005" t="inlineStr">
        <is>
          <t>2026-07-25_1.jpg;2026-07-25_2.jpg;2026-07-25_3.jpg;2026-07-25_4.jpg</t>
        </is>
      </c>
      <c r="V86" s="1199" t="inlineStr">
        <is>
          <t>12:30 PM. FC 14.6 (73 drops, slow technique), CC ~0.3 (John: between 1 and 2 drops -- recorded as 0.3, treat as +/-0.1). Mass balance: 11.6 @ 31,398 gal + 1.5 gal dose - 14.6 @ 31,221 gal (level 15.8-&gt;14.9 = -177 gal evaporation, no rain) =&gt; real loss 3.06 ppm/24h. *** PREDICTION: 13.9 predicted vs 14.6 actual = +0.7, the model's 2nd-best hit *** (best was +0.1 on 7/21). Loss 3.06 sits almost exactly on the flat l24 3.5 -- further support for keeping the flat model rather than the low baseline briefly leaned into on 7/23. Clean quiet-day losses now 0.59 / 1.05 / 4.06 / 3.06: mean ~2.2 but range 0.6-4.1, i.e. genuinely variable. NOT retuning. TRAIL CAM: John set it out overnight 7/24-&gt;7/25 and it caught NOTHING (cam verified triggering). Weak evidence against the nocturnal-wildlife hypothesis for this window -- and notably this was a fairly ORDINARY loss night (3.06), so a no-visitor/normal-loss night is consistent with either explanation; the informative cases will be a big-loss night with a visitor (confirms) or a big-loss night with an empty cam (undercuts). Cam continuing. Evaporation -177 gal, the largest single-day yet (hot, dry, sunny); level 14.9 cm now below the 15.81 reference, pool ~0.9cm down, no top-off needed. NO DOSE: FC 14.6 is at/just above aim 14; at typical loss it lands ~11.5 tomorrow, above floor 10. PHOTOS(4): ruler confirms 14.9; some insect/leaf debris collecting at the skimmer -- normal, and a reminder that environmental organic input (not UV) is the plausible driver of the unexplained loss variance. Water clear.</t>
        </is>
      </c>
      <c r="W86" s="4010" t="inlineStr">
        <is>
          <t>quiet</t>
        </is>
      </c>
    </row>
    <row r="87">
      <c r="A87" s="3997" t="inlineStr">
        <is>
          <t>2026-07-26</t>
        </is>
      </c>
      <c r="B87" s="3998" t="inlineStr">
        <is>
          <t>12:25</t>
        </is>
      </c>
      <c r="C87" s="3998" t="inlineStr">
        <is>
          <t>TEST</t>
        </is>
      </c>
      <c r="D87" s="3999" t="n"/>
      <c r="E87" s="3999" t="n">
        <v>13.8</v>
      </c>
      <c r="F87" s="3999" t="n">
        <v>0.3</v>
      </c>
      <c r="G87" s="3999" t="n">
        <v>0.8</v>
      </c>
      <c r="H87" s="3999" t="n"/>
      <c r="I87" s="4000" t="n"/>
      <c r="J87" s="4001" t="n"/>
      <c r="K87" s="4001" t="n"/>
      <c r="L87" s="4001" t="n"/>
      <c r="M87" s="3999" t="n"/>
      <c r="N87" s="3999" t="n"/>
      <c r="O87" s="3999" t="n">
        <v>13</v>
      </c>
      <c r="P87" s="4002" t="n">
        <v>0</v>
      </c>
      <c r="Q87" s="3999" t="n"/>
      <c r="R87" s="3999" t="n">
        <v>77</v>
      </c>
      <c r="S87" s="3999" t="n">
        <v>14.3</v>
      </c>
      <c r="T87" s="1047" t="inlineStr">
        <is>
          <t>Clear and sunny, 78F, 34% RH (very dry), sun 6.2h of 7h so far at noon, high 79F, 0.00in precip, UV 7.5. Window 7/25-&gt;7/26 sunny and dry throughout (7/25 measured 13.0 sun hrs).</t>
        </is>
      </c>
      <c r="U87" s="3998" t="inlineStr">
        <is>
          <t>2026-07-26_1.jpg;2026-07-26_2.jpg;2026-07-26_3.jpg;2026-07-26_4.jpg</t>
        </is>
      </c>
      <c r="V87" s="1047" t="inlineStr">
        <is>
          <t>12:25 PM. FC 13.8 (69 drops, slow technique), CC ~0.3 (again between 1-2 drops; +/-0.1). No dose in window. Mass balance: 14.6 @ 31,221 -&gt; 13.8 @ 31,104 gal (level 14.9-&gt;14.3 = -118 gal evaporation, no rain) =&gt; real loss 0.85 ppm/24h -- the 2nd-lowest of the whole clean series. LOAD = swimmers (John: one person ~15 min, mostly soaking, little splashing, 7/25 afternoon). NOTABLE: the day WITH a swimmer had the LOWEST loss of the last four days -- so a short single-person soak is not a detectable load at this pool's scale, exactly as expected (~31,000 gal swamps it). Do NOT read this as swimmers reducing demand; it just confirms small loads sit far below the day-to-day noise. Clean-series quiet/light losses now 0.59 / 1.05 / 4.06 / 3.06 / 0.85 -- mean ~1.9, range 0.6-4.1, still genuinely variable with no predictor. TRAIL CAM night 2 (7/25-&gt;7/26): ONE trigger, a false positive, no animal detected. Cam verified working. This night was LOW loss (0.85), so an empty cam is CONSISTENT with the wildlife hypothesis and does not discriminate -- the informative case remains a BIG-loss night: with a visitor confirms, with an empty cam undercuts. Two clean nights banked so far; note the cam covers the steps/shallow end only, so a deep-end visitor or a small animal below the PIR threshold would not register. Evaporation -118 gal on a very dry (34% RH) day; level 14.3 cm, ~1.5cm below the reference mark, ~290 gal down -- NO top-off (heavy rain forecast Tuesday 7/28; ~2.1cm of headroom before John's tape maxes at 17.0). NO DOSE: FC 13.8 is right at aim 14; even a 4 ppm day lands ~9.8, only marginally under floor 10, and typical loss lands ~11-12. PHOTOS(4): water crystal clear to the bottom pool-wide, sharp caustics, no algae or cloudiness.</t>
        </is>
      </c>
      <c r="W87" s="4003" t="inlineStr">
        <is>
          <t>swimmers</t>
        </is>
      </c>
    </row>
    <row r="88">
      <c r="A88" s="4004" t="inlineStr">
        <is>
          <t>2026-07-27</t>
        </is>
      </c>
      <c r="B88" s="4005" t="inlineStr">
        <is>
          <t>12:30</t>
        </is>
      </c>
      <c r="C88" s="4005" t="inlineStr">
        <is>
          <t>TEST</t>
        </is>
      </c>
      <c r="D88" s="4006" t="n"/>
      <c r="E88" s="4006" t="n">
        <v>13.6</v>
      </c>
      <c r="F88" s="4006" t="n">
        <v>0.2</v>
      </c>
      <c r="G88" s="4006" t="n">
        <v>0.2</v>
      </c>
      <c r="H88" s="4006" t="n"/>
      <c r="I88" s="4007" t="n"/>
      <c r="J88" s="4008" t="n"/>
      <c r="K88" s="4008" t="n"/>
      <c r="L88" s="4008" t="n"/>
      <c r="M88" s="4006" t="n"/>
      <c r="N88" s="4006" t="n"/>
      <c r="O88" s="4006" t="n">
        <v>13</v>
      </c>
      <c r="P88" s="4009" t="n">
        <v>0</v>
      </c>
      <c r="Q88" s="4006" t="n"/>
      <c r="R88" s="4006" t="n">
        <v>78</v>
      </c>
      <c r="S88" s="4006" t="n">
        <v>13.8</v>
      </c>
      <c r="T88" s="1199" t="inlineStr">
        <is>
          <t>Mainly clear, 76F, 73% RH, sun 5.9h of 7h so far at noon, high 78F, 0.00in precip, UV 7.5. Window 7/26-&gt;7/27 sunny and dry (7/26 measured 13.0 sun hrs).</t>
        </is>
      </c>
      <c r="U88" s="4005" t="inlineStr">
        <is>
          <t>2026-07-27_1.jpg;2026-07-27_2.jpg;2026-07-27_3.jpg;2026-07-27_4.jpg;2026-07-27_5.jpg</t>
        </is>
      </c>
      <c r="V88" s="1199" t="inlineStr">
        <is>
          <t>12:30 PM. *** FC 13.6 IS A MIDPOINT, NOT AN EXACT COUNT: John lost count and is certain it was EITHER 67 drops (13.4) OR 69 (13.8); logged as 68 drops = 13.6, uncertainty +/-0.2 ppm. *** Perspective: every reading already carries ~+/-1 drop of endpoint judgement, so a bounded 68+/-1 is only modestly worse than a normal reading -- roughly 1.4x the usual uncertainty, not a different kind of number. DELIBERATELY did NOT use the loss model to pick between 67 and 69: that would make the datapoint partly model-derived and quietly contaminate the very dataset we use to test the model (circular). Midpoint + honest error bar instead. Loss is low either way: 69 drops -&gt; 0.04 ppm/24h, 67 -&gt; 0.44, midpoint 0.24 (level 14.3-&gt;13.8 = -98 gal evaporation, no rain, no dose). That is the LOWEST of the clean series. Clean-series losses now 0.59 / 1.05 / 4.06 / 3.06 / 0.85 / 0.24 -- note the last three are all under 1.1, the first sustained low-loss stretch; NOT calling it a trend (7/23 taught that lesson) but worth watching whether demand genuinely stays low now that mid-July's storm/smoke organics are gone. TRAIL CAM night 3 (repositioned to the whole-pool view from the shallow-end corner, covering steps + both long sides + deep end): NOTHING overnight; cam verified working because it recorded John retrieving it this morning. Again a LOW-loss night, so still non-discriminating -- 3 clean nights banked, and the informative case remains a BIG-loss night. CC 0.2 (down from 0.3), water clear. FORECAST CHANGED -- the 'heavy rain Tuesday' John expected has evaporated: 7/28 now 0.00in (38% prob), with modest rain moved to 7/29 (0.34in, 95%) and 7/30 (0.25in) = ~300 gal total, about +1.5cm. Level is 13.8cm, ~2.0cm (~400 gal) below the reference mark, so that rain would roughly restore it -- but if it underdelivers (the feed has been unreliable both directions), a top-off may be needed later this week. NO DOSE: FC 13.6 just under aim 14 and losses running &lt;1 ppm; expect ~12.5-13.5 tomorrow, well above floor 10.</t>
        </is>
      </c>
      <c r="W88" s="4010" t="inlineStr">
        <is>
          <t>quiet</t>
        </is>
      </c>
    </row>
    <row r="89">
      <c r="A89" s="3955" t="inlineStr">
        <is>
          <t>2026-07-28</t>
        </is>
      </c>
      <c r="B89" s="3956" t="inlineStr">
        <is>
          <t>13:25</t>
        </is>
      </c>
      <c r="C89" s="3956" t="inlineStr">
        <is>
          <t>TEST</t>
        </is>
      </c>
      <c r="D89" s="3957" t="n"/>
      <c r="E89" s="3957" t="n">
        <v>9.199999999999999</v>
      </c>
      <c r="F89" s="3957" t="n">
        <v>0.2</v>
      </c>
      <c r="G89" s="3957" t="n">
        <v>4.4</v>
      </c>
      <c r="H89" s="3957" t="n"/>
      <c r="I89" s="3958" t="n"/>
      <c r="J89" s="3959" t="n"/>
      <c r="K89" s="3959" t="n"/>
      <c r="L89" s="3959" t="n"/>
      <c r="M89" s="3957" t="n"/>
      <c r="N89" s="3957" t="n"/>
      <c r="O89" s="3957" t="n">
        <v>3</v>
      </c>
      <c r="P89" s="3960" t="n">
        <v>0.01</v>
      </c>
      <c r="Q89" s="3957" t="n"/>
      <c r="R89" s="3957" t="n">
        <v>80</v>
      </c>
      <c r="S89" s="3957" t="n">
        <v>13.7</v>
      </c>
      <c r="T89" s="624" t="inlineStr">
        <is>
          <t>Overcast and VERY humid, 79F, 82% RH; only 3.0h sun of 8h daylight (37%); high 79F, 0.01in precip so far, UV 7.5. Rain forecast overnight.</t>
        </is>
      </c>
      <c r="U89" s="3956" t="inlineStr">
        <is>
          <t>2026-07-28_1.jpg;2026-07-28_2.jpg;2026-07-28_3.jpg;2026-07-28_4.jpg;2026-07-28_5.jpg;2026-07-28_6.jpg;2026-07-28_7.jpg;2026-07-28_8.jpg</t>
        </is>
      </c>
      <c r="V89" s="624" t="inlineStr">
        <is>
          <t>1:25 PM. *** TWO back-to-back samples, SAME red spot, same slow technique, minutes apart: 36 drops (7.2) then 46 drops (9.2) -- a 10-drop / 2.0 ppm spread, far beyond the 1-drop resolution. CANONICAL VALUE SET TO 9.2 (the higher reading). *** Reason: insufficient DPD powder reads LOW and NEVER high -- if the powder cannot convert all the free chlorine to the pink dye, some chlorine is never counted and fewer FAS drops are needed. So when replicates disagree, the HIGHER value is the more likely truth. This bites THIS pool specifically because FC runs 13-18: the more chlorine, the more DPD powder needed to capture it, so a slightly light scoop matters far more at FC 15 than at FC 3. NOT an operator error -- John's technique is confirmed (see Testing method) and he reports doing nothing differently; this is the method operating near its capacity at high FC. FIX: heaping scoop of R-0870, and open the fresh jar if the current one is low (a near-empty jar makes consistent scoops harder). Revised loss = 4.41 ppm/24h (not the 6.41 the 7.2 implied) -- still a big day but not 2nd-largest. RETROSPECTIVE CAVEAT: if DPD scoop size has varied at all this season, it would inject LOW-biased noise into readings, which may account for part of the unexplained loss scatter -- flagged as a hypothesis, NOT established, do not retune anything on it. CC 0.2, water temp 78-&gt;80. Level 13.8-&gt;13.7 (flat, -20 gal). Photos: water CLEAR to the bottom, no green tint or cloudiness, no visible algae. EasyTest dip strip run as a cross-check: no precise value readable from a photo (colour shifts with lighting; strips saturate above ~5 ppm and are unreliable at high CYA), but pads are not saturated, consistent with a moderate FC. TRAIL CAM night 4 EMPTY -- and this is the FIRST big-loss night with camera coverage, the first genuinely discriminating result, and it UNDERCUTS the nocturnal-wildlife hypothesis (not conclusive: a small/distant animal may not trip the PIR). Even at 9.2 the FC/CYA ratio was 6.4%, below the ~7.5% algae-inhibition threshold -&gt; dosed promptly. *** CAUSE PARTLY IDENTIFIED (John, later 7/28): a DEAD MOUSE was removed from the pool at 7 AM this morning -- i.e. it was in the water during the loss window. Magnitude check, honestly: a ~25 g mouse holds ~6-8 g dry organic matter, which at typical oxidation demand consumes only ~0.15-0.6 ppm in 31,400 gal, so it is a REAL contributor but only ~5-15% of the 4.4 ppm -- it does NOT explain the whole day. Its bigger significance: it PROVES unseen organic input reaches this pool. A mouse got in, drowned and sat there with no camera, forecast or test able to reveal it -- so birds/chipmunks/frogs/etc. plausibly do the same. This also explains the empty trail cam on a big-loss night: a mouse will not reliably trip a PIR sensor and likely fell from the deck edge rather than using the steps, so the cam's negative result no longer undercuts animal-input as a CATEGORY (it still argues against a raccoon-sized visitor). Walls and steps checked: NO slime, nothing slippery, water clean; skimmer basket empty -&gt; no algae indication. DPD EVIDENCE STRENGTHENED: John reports he ALWAYS adds more powder than needed, and for the 2nd test added 'way more than needed' -- the only variable he changed between the two samples -- and the reading rose 36 -&gt; 46 drops. More powder -&gt; higher reading on the same water is exactly what DPD-limitation predicts, so his normal generous scoop may still be short at the FC 13-18 this pool runs. IMPLICATION (hypothesis, NOT acted on): FC may have read LOW all season, more so on high-FC days. Standard procedure now: deliberately HEAP the DPD powder, consistently. REAGENT CHANGEOVER PLAN (John): nearly out of both; will use the OLD liquid tomorrow to keep tests comparable, then switch. Claude's addition -- on switchover day run OLD and NEW side by side on the SAME sample (the ideal use for the last of the old bottle), so any step change is measured directly instead of being permanently ambiguous.</t>
        </is>
      </c>
      <c r="W89" s="3961" t="inlineStr">
        <is>
          <t>dead mouse</t>
        </is>
      </c>
    </row>
    <row r="90">
      <c r="A90" s="3962" t="inlineStr">
        <is>
          <t>2026-07-28</t>
        </is>
      </c>
      <c r="B90" s="3963" t="inlineStr">
        <is>
          <t>14:05</t>
        </is>
      </c>
      <c r="C90" s="3963" t="inlineStr">
        <is>
          <t>DOSE</t>
        </is>
      </c>
      <c r="D90" s="3964" t="n"/>
      <c r="E90" s="3964" t="n"/>
      <c r="F90" s="3964" t="n"/>
      <c r="G90" s="3964" t="n"/>
      <c r="H90" s="3964" t="n">
        <v>15.3</v>
      </c>
      <c r="I90" s="3965" t="n"/>
      <c r="J90" s="3966" t="n"/>
      <c r="K90" s="3966" t="n"/>
      <c r="L90" s="3966" t="n"/>
      <c r="M90" s="3964" t="n">
        <v>2.5</v>
      </c>
      <c r="N90" s="3964" t="n">
        <v>35</v>
      </c>
      <c r="O90" s="3964" t="n"/>
      <c r="P90" s="3967" t="n"/>
      <c r="Q90" s="3964" t="n"/>
      <c r="R90" s="3964" t="n"/>
      <c r="S90" s="3964" t="n"/>
      <c r="T90" s="631" t="n"/>
      <c r="U90" s="3963" t="n"/>
      <c r="V90" s="631" t="inlineStr">
        <is>
          <t>2:05 PM, 2.5 gal poured -- LARGEST single dose of the season, and deliberately a DAYTIME pour (2nd non-evening dose this month). Rationale: FC was below floor (7.2-9.2 vs floor 10, FC/CYA 5.0-6.4% against the ~7.5% needed to inhibit algae), the day was overcast (only 3.0h sun) so there was no meaningful UV penalty for dosing at 2 PM, pump running, and rain was due overnight. Waiting until 8 PM would have left the pool under-protected for 6 more hours for no benefit. Post-dose FC lands 16.8 (if 7.2 was true) to 18.8 (if 9.2 was true) -- both INSIDE safe-swim ~19, so the dose was correct under either reading. Projected next-noon 15.3 off the canonical 9.2 + 9.6 - 3.5. Season total 35.0 gal. *** TOMORROW IS THE DISCRIMINATOR: FC holding ~14-16 = a one-off organic demand event, burned through. FC crashing again = escalating demand, the signature of an early algae bloom -&gt; escalate (raise and HOLD FC at the top of the band, brush walls, check filter). *** Asked John to feel the walls/steps in shady corners for any slick film (early algae before it is visible) and to check the skimmer basket.</t>
        </is>
      </c>
      <c r="W90" s="3968" t="n"/>
    </row>
    <row r="91">
      <c r="A91" s="4004" t="inlineStr">
        <is>
          <t>2026-07-29</t>
        </is>
      </c>
      <c r="B91" s="4005" t="inlineStr">
        <is>
          <t>13:00</t>
        </is>
      </c>
      <c r="C91" s="4005" t="inlineStr">
        <is>
          <t>TEST</t>
        </is>
      </c>
      <c r="D91" s="4006" t="n"/>
      <c r="E91" s="4006" t="n">
        <v>17.8</v>
      </c>
      <c r="F91" s="4006" t="n">
        <v>0.2</v>
      </c>
      <c r="G91" s="4006" t="n">
        <v>1</v>
      </c>
      <c r="H91" s="4006" t="n"/>
      <c r="I91" s="4007" t="n">
        <v>2.5</v>
      </c>
      <c r="J91" s="4008" t="n"/>
      <c r="K91" s="4008" t="n"/>
      <c r="L91" s="4008" t="n"/>
      <c r="M91" s="4006" t="n"/>
      <c r="N91" s="4006" t="n"/>
      <c r="O91" s="4006" t="n">
        <v>0</v>
      </c>
      <c r="P91" s="4009" t="n">
        <v>0.63</v>
      </c>
      <c r="Q91" s="4006" t="n"/>
      <c r="R91" s="4006" t="n">
        <v>78</v>
      </c>
      <c r="S91" s="4006" t="n">
        <v>18</v>
      </c>
      <c r="T91" s="1199" t="inlineStr">
        <is>
          <t>Overcast, heavy rain overnight and into today. 71F, 89% RH, 0.0h sun of 7h daylight (0%), high 74F, 0.63in precip logged so far, UV 7.0.</t>
        </is>
      </c>
      <c r="U91" s="4005" t="inlineStr">
        <is>
          <t>2026-07-29_1.jpg;2026-07-29_2.jpg;2026-07-29_3.jpg;2026-07-29_4.jpg</t>
        </is>
      </c>
      <c r="V91" s="1199" t="inlineStr">
        <is>
          <t>1:00 PM. FC 17.8 (89 drops, DPD in visible excess -- new standard), CC 0.2. *** DISCRIMINATING TEST RESOLVED: NOT ALGAE. *** Mass balance across the dose and the rain: 9.2 @ 30,986 gal + 2.5 gal (312,500 ppm-gal) - 17.8 @ 31,830 gal =&gt; real chemical loss 0.99 ppm/24h. Yesterday's demand event was a genuine ONE-OFF that burned through -- an algae bloom produces ESCALATING demand, and instead demand collapsed straight back to the ~1 ppm low baseline. Walls/steps/skimmer were already clean yesterday and water is clear today, so algae is ruled out on both chemical and visual evidence. Supports the dead mouse (+ associated organic input) as the driver rather than anything ongoing. RAIN: level 13.7 -&gt; 18.0 cm = +844 gal = 1.69in equivalent, vs the feed's 0.63in -- the pool again received ~2.7x the grid figure, the THIRD such instance (7/18 3.1x, 7/22 4.2x, now 2.7x). Consistent with John's point about extreme local rainfall variability in his town; the ruler remains ground truth for water balance. LEVEL METHOD (confirmed by John): 18.0 is NOT an on-scale reading -- the water rose ABOVE the top of the tape (17.0), and John measured the extra 1 cm above it. So it is a legitimate measurement but slightly coarser than a normal scale reading; treat as ~18.0 +/-0.3. Materiality is LOW either way (at 17.0 the loss would be 1.10 vs 0.99 ppm, same conclusion). *** The tape has now actually been exceeded, so a longer strip is needed before the next big rain if we want to keep the water-balance math on-scale. *** CYA: 844 gal of rain into ~31,800 = 2.7% dilution, CYA ~144 -&gt; ~140; recheck is now overdue (last real anchor 7/12) and would tighten the band. PREDICTION: 15.3 predicted vs 17.8 actual = +2.5 -- the flat l24 3.5 over-predicted loss again on a day that only lost 1.0. NO DOSE: FC 17.8 is just under the ~19 safe-swim ceiling; FC/CYA ratio 12.7%, very well protected. Expect it to coast down over several days. PHOTOS(4): water clear to the bottom, rain rings on the surface, some leaves and small organic debris floating from the storm wash-in -- worth skimming, and a visible reminder of the environmental organic input that drives unexplained demand. DPD STANDARD IN FORCE: John confirms today's test was run with plenty of DPD powder and visible excess in the tube, so this is the FIRST reading taken under the new standard (and yesterday's canonical 9.2 was also the 'way more than needed' sample, so the two are comparable). Readings from 7/28 onward are on a consistent DPD basis; pre-7/28 readings may carry the low-bias described in the Testing method section.</t>
        </is>
      </c>
      <c r="W91" s="4010" t="inlineStr">
        <is>
          <t>storm</t>
        </is>
      </c>
    </row>
    <row r="92">
      <c r="A92" s="3997" t="inlineStr">
        <is>
          <t>2026-07-30</t>
        </is>
      </c>
      <c r="B92" s="3998" t="inlineStr">
        <is>
          <t>13:00</t>
        </is>
      </c>
      <c r="C92" s="3998" t="inlineStr">
        <is>
          <t>TEST</t>
        </is>
      </c>
      <c r="D92" s="3999" t="n"/>
      <c r="E92" s="3999" t="n">
        <v>16</v>
      </c>
      <c r="F92" s="3999" t="n">
        <v>0.5</v>
      </c>
      <c r="G92" s="3999" t="n">
        <v>1.8</v>
      </c>
      <c r="H92" s="3999" t="n"/>
      <c r="I92" s="4000" t="n"/>
      <c r="J92" s="4001" t="n"/>
      <c r="K92" s="4001" t="n"/>
      <c r="L92" s="4001" t="n"/>
      <c r="M92" s="3999" t="n"/>
      <c r="N92" s="3999" t="n"/>
      <c r="O92" s="3999" t="n">
        <v>1.5</v>
      </c>
      <c r="P92" s="4002" t="n">
        <v>0.05</v>
      </c>
      <c r="Q92" s="3999" t="n"/>
      <c r="R92" s="3999" t="n">
        <v>77</v>
      </c>
      <c r="S92" s="3999" t="n">
        <v>17.7</v>
      </c>
      <c r="T92" s="1047" t="inlineStr">
        <is>
          <t>Overcast, more rain lately. 72F, 79% RH, only 1.5h sun of 8h daylight (19%), high 77F, 0.05in precip so far, UV 2.6 (very low).</t>
        </is>
      </c>
      <c r="U92" s="3998" t="inlineStr">
        <is>
          <t>2026-07-30_1.jpg;2026-07-30_2.jpg;2026-07-30_3.jpg;2026-07-30_4.jpg</t>
        </is>
      </c>
      <c r="V92" s="1047" t="inlineStr">
        <is>
          <t>1:00 PM. FC 16.0 (80 drops), CC ~0.5 (John: 'around 0.5 I think'). *** REAGENT CHANGEOVER: this is the FIRST test on the NEW R-0871/R-0870 bottles. *** The planned old-vs-new side-by-side was NOT possible -- not enough of the old liquid left for two tests -- so the transition is unbracketed. Assessment: mass balance gives loss 1.83 ppm/24h (17.8 @ 31,830 gal -&gt; 16.0 @ 31,771 gal, no dose, net -59 gal), which sits comfortably inside the recent clean range (0.24-4.41), so there is NO LARGE step change from the new reagents. HONEST LIMIT: without the side-by-side we cannot separate a SMALL reagent offset from real loss -- e.g. real 1.0 + offset 0.8 is indistinguishable from real 1.8 + offset 0. So: no large discontinuity, but a sub-ppm offset cannot be excluded. Watch the next few days; if losses shift systematically low or high versus the prior baseline, suspect the reagent. Same procedure and DPD in visible excess, so the powder standard is unchanged across the switch. *** CC 0.5 -- AT the flag threshold *** (POOL.md: CC &gt;= 0.5 that PERSISTS = flag). Not alarmed and NO action yet, for three reasons: (1) two days of heavy storm wash-in have loaded the pool with organics, and chloramine formation is the expected result; (2) FC 16.0 is high and should oxidise them out; (3) CC is a small-difference measurement (2-3 drops) so the reagent change could itself shift it slightly, and John flagged his own reading as approximate. ACTION: watch it -- if CC stays &gt;= 0.5 for 2-3 days with FC high, that becomes a real flag worth acting on. Level 17.7 cm, still ABOVE the tape's 17.0 top so again partly estimated; John notes it went down and back up with the recent rain. NO DOSE: FC 16.0 is above aim 14 and well inside safe-swim ~19. PHOTOS(4): water clear to the bottom, robotic vacuum working the floor, some leaves/debris floating from the storm (John will skim), dog on the deck (not in the pool). CYA recheck still pending -- waiting for the weather to settle, no urgency at this FC.</t>
        </is>
      </c>
      <c r="W92" s="4003" t="inlineStr">
        <is>
          <t>storm</t>
        </is>
      </c>
    </row>
    <row r="93">
      <c r="A93" s="4004" t="inlineStr">
        <is>
          <t>2026-07-31</t>
        </is>
      </c>
      <c r="B93" s="4005" t="inlineStr">
        <is>
          <t>12:20</t>
        </is>
      </c>
      <c r="C93" s="4005" t="inlineStr">
        <is>
          <t>TEST</t>
        </is>
      </c>
      <c r="D93" s="4006" t="n"/>
      <c r="E93" s="4006" t="n">
        <v>14.2</v>
      </c>
      <c r="F93" s="4006" t="n">
        <v>0.3</v>
      </c>
      <c r="G93" s="4006" t="n">
        <v>1.8</v>
      </c>
      <c r="H93" s="4006" t="n"/>
      <c r="I93" s="4007" t="n"/>
      <c r="J93" s="4008" t="n"/>
      <c r="K93" s="4008" t="n"/>
      <c r="L93" s="4008" t="n"/>
      <c r="M93" s="4006" t="n"/>
      <c r="N93" s="4006" t="n"/>
      <c r="O93" s="4006" t="n">
        <v>13</v>
      </c>
      <c r="P93" s="4009" t="n">
        <v>0</v>
      </c>
      <c r="Q93" s="4006" t="n"/>
      <c r="R93" s="4006" t="n">
        <v>78</v>
      </c>
      <c r="S93" s="4006" t="n">
        <v>17.4</v>
      </c>
      <c r="T93" s="1199" t="inlineStr">
        <is>
          <t>Clear and sunny, 79F, 69% RH, sun 6.1h of 7h so far at noon (87%), high 80F, 0.00in precip, UV 7.2.</t>
        </is>
      </c>
      <c r="U93" s="4005" t="inlineStr">
        <is>
          <t>2026-07-31_1.jpg;2026-07-31_2.jpg;2026-07-31_3.jpg;2026-07-31_4.jpg;2026-07-31_5.jpg</t>
        </is>
      </c>
      <c r="V93" s="1199" t="inlineStr">
        <is>
          <t>12:20 PM. FC 14.2 (71 drops, DPD in visible excess), CC 0.3. Mass balance: 16.0 @ 31,771 -&gt; 14.2 @ 31,712 gal (level 17.7-&gt;17.4, -59 gal, no rain, no dose) =&gt; real loss 1.83 ppm/24h -- IDENTICAL to yesterday's 1.83. *** REAGENT CONTINUITY LOOKING GOOD: *** two consecutive days on the new R-0871/R-0870 both at 1.83, and both inside the pre-switch clean range (0.24-4.41). That does not prove a zero offset (still no side-by-side, and a constant offset would cancel out of day-to-day DIFFERENCES anyway), but it does show the new reagents are behaving consistently and the series remains usable. *** CC WATCH RESOLVED: 0.5 -&gt; 0.3, *** so yesterday's reading did NOT persist -- consistent with the storm-organics explanation (chloramines formed from the wash-in, then oxidised out by the high FC) rather than a reagent artefact or a developing problem. No action needed; CC back to its usual 0.2-0.3 band. FC 14.2 is right AT aim 14 (FC/CYA 10.1%), so NO DOSE today. At the current ~1.8 ppm/day it lands ~12.4 tomorrow (comfortably in band) and ~10.6 the day after (near floor 10), so *** expect to dose tomorrow or the day after *** -- and even a 4 ppm spike day from here only reaches ~10.2, still above floor, so holding today carries no real risk. Level 17.4 cm, still above the tape's 17.0 top so partly estimated; drifting down slowly from the storm peak. PHOTOS(5): water crystal clear to the bottom, sharp caustics, storm debris now skimmed (visibly cleaner than yesterday), no algae or cloudiness. CYA recheck still pending -- weather now settling, so a good opportunity in the next day or two; last real anchor 7/12 and ~140 estimated after rain dilution.</t>
        </is>
      </c>
      <c r="W93" s="4010" t="inlineStr">
        <is>
          <t>quiet</t>
        </is>
      </c>
    </row>
    <row r="94">
      <c r="A94" s="3997" t="inlineStr">
        <is>
          <t>2026-08-01</t>
        </is>
      </c>
      <c r="B94" s="3998" t="inlineStr">
        <is>
          <t>12:45</t>
        </is>
      </c>
      <c r="C94" s="3998" t="inlineStr">
        <is>
          <t>TEST</t>
        </is>
      </c>
      <c r="D94" s="3999" t="n">
        <v>7.7</v>
      </c>
      <c r="E94" s="3999" t="n">
        <v>13.2</v>
      </c>
      <c r="F94" s="3999" t="n">
        <v>0.5</v>
      </c>
      <c r="G94" s="3999" t="n">
        <v>1</v>
      </c>
      <c r="H94" s="3999" t="n"/>
      <c r="I94" s="4000" t="n"/>
      <c r="J94" s="4001" t="n">
        <v>120</v>
      </c>
      <c r="K94" s="4001" t="n"/>
      <c r="L94" s="4001" t="n">
        <v>148</v>
      </c>
      <c r="M94" s="3999" t="n"/>
      <c r="N94" s="3999" t="n"/>
      <c r="O94" s="3999" t="n">
        <v>13</v>
      </c>
      <c r="P94" s="4002" t="n">
        <v>0</v>
      </c>
      <c r="Q94" s="3999" t="n"/>
      <c r="R94" s="3999" t="n">
        <v>78</v>
      </c>
      <c r="S94" s="3999" t="n">
        <v>17.8</v>
      </c>
      <c r="T94" s="1047" t="inlineStr">
        <is>
          <t>Partly cloudy, 82F, 68% RH, sun 7.0h of 8h so far (87%), high 83F, 0.00in precip today, UV 6.5. HEAVY afternoon THUNDERSTORM yesterday (7/31) -- level rose 17.4 -&gt; 17.8.</t>
        </is>
      </c>
      <c r="U94" s="3998" t="inlineStr">
        <is>
          <t>2026-08-01_1.jpg;2026-08-01_2.jpg;2026-08-01_3.jpg;2026-08-01_4.jpg</t>
        </is>
      </c>
      <c r="V94" s="1047" t="inlineStr">
        <is>
          <t>12:45 PM. *** FULL PANEL *** -- pH 7.7, FC 13.2 (66 drops, DPD in visible excess), CC 0.5, TA 110-120, recorded as 120 (John saw PINK at 11 drops and RED at 12; Taylor's endpoint is green-&gt;RED, so 12 x10 = 120 is the procedural reading, but the pink/red call is subjective so 110 cannot be excluded -- and one drop = 10 ppm is the test's inherent resolution either way), CYA 148. Loss: 14.2 @ 31,712 -&gt; 13.2 @ 31,791 gal (thunderstorm added only ~79 gal, +0.4cm) =&gt; 0.97 ppm/24h, low, and the 3rd straight day in the 1-2 range on the new reagents. *** CYA 148 (74 diluted x2) -- John's best-executed CYA test yet *** using the new technique guidance (quick glances not staring, natural light over the shoulder, deliberate pour, 30s mix + 30s stand). vs 144 on 7/12 = STABLE within the test's ~+/-15%; do NOT read 144-&gt;148 as a real rise. dose.py cya_current updated 144 -&gt; 148; band moves only aim 14 -&gt; 15 (floor stays 10). FC/CYA now 8.9%. *** KEY FINDING -- TA HAS DROPPED HARD AND THE WATCH HAS REVERSED: *** TA 170 (6/24) -&gt; 120 raw now. CYA-corrected carbonate TA = TA - 148/3 = ~61 (if TA 110) to ~71 (if 120), versus ~120 in June. A very wet July diluted alkalinity (rain is ~alkalinity-free). The standing POOL.md trigger was written for HIGH TA (pH bouncing UP); the live risk is now the OPPOSITE -- low carbonate TA means weaker pH buffering and a pH that can drift/swing. ~61-71 is low-normal -- workable for vinyl, though the 61 end is near the comfortable minimum, and pH 7.7 is fine, so NO ACTION now. New trigger recorded: if pH drifts below ~7.2 or swings between tests, raise TA with baking soda (~4.7 lb per +10 ppm in this pool). Caveat: single measurement + approximate CYA correction -- confirm on the next panel. *** CYA MECHANISM CLARIFIED: *** anchors 150 -&gt; 144 -&gt; 148 are flat despite heavy rain, because rain dilutes only temporarily and evaporation re-concentrates; CYA mass leaves ONLY when water leaves (overflow/backwash/splash-out). Passive lowering will be slow. CC 0.5 again (was 0.5 on 7/30, 0.3 on 7/31) -- bouncing rather than persistent, and each 0.5 follows a storm, consistent with organic wash-in forming chloramines; the 1.0 gal dose raises FC to help oxidise them. Watch, not yet a flag. Level 17.8 cm, still above the tape's 17.0 top so partly estimated. PHOTOS(4): water clear to the bottom, some storm debris settled on the floor (vacuum will clear it), no algae or cloudiness. DOSE PLAN: 1.0 gal this evening -&gt; ~17.0, landing ~15.5 tomorrow (at aim), and ~13.0 even on a 4 ppm spike day. TA RANGE CLARIFIED (John, same day): the reading is 110 OR 120, not a precise 120 -- conclusion is unchanged either way (carbonate TA 61-71, well down from ~120 in June), but the lower end makes CONFIRMING TA ON THE NEXT PANEL more worthwhile before any baking-soda decision.</t>
        </is>
      </c>
      <c r="W94" s="4003" t="inlineStr">
        <is>
          <t>storm</t>
        </is>
      </c>
    </row>
  </sheetData>
  <mergeCells count="1">
    <mergeCell ref="A2:D2"/>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B36"/>
  <sheetViews>
    <sheetView zoomScaleNormal="100" workbookViewId="0">
      <selection activeCell="A1" sqref="A1"/>
    </sheetView>
  </sheetViews>
  <sheetFormatPr baseColWidth="8" defaultColWidth="8.7109375" defaultRowHeight="15"/>
  <cols>
    <col width="30" customWidth="1" min="1" max="1"/>
    <col width="70" customWidth="1" min="2" max="2"/>
  </cols>
  <sheetData>
    <row r="1" ht="15" customHeight="1">
      <c r="A1" s="1" t="inlineStr">
        <is>
          <t>POOL REFERENCE</t>
        </is>
      </c>
      <c r="B1" s="2" t="n"/>
    </row>
    <row r="2" ht="15" customHeight="1">
      <c r="A2" s="3" t="n"/>
      <c r="B2" s="2" t="n"/>
    </row>
    <row r="3" ht="15" customHeight="1">
      <c r="A3" s="3" t="inlineStr">
        <is>
          <t>Pool volume</t>
        </is>
      </c>
      <c r="B3" s="2" t="inlineStr">
        <is>
          <t>~34,400 gallons (20x40, 3 ft -&gt; 8.5 ft slope, avg 5.75 ft)</t>
        </is>
      </c>
    </row>
    <row r="4" ht="15" customHeight="1">
      <c r="A4" s="3" t="inlineStr">
        <is>
          <t>Liner</t>
        </is>
      </c>
      <c r="B4" s="2" t="inlineStr">
        <is>
          <t>Vinyl</t>
        </is>
      </c>
    </row>
    <row r="5" ht="15" customHeight="1">
      <c r="A5" s="3" t="inlineStr">
        <is>
          <t>Pump</t>
        </is>
      </c>
      <c r="B5" s="2" t="inlineStr">
        <is>
          <t>Hayward Super Pump SP1600, 3/4 HP, 120V (motor SPX1605Z1M)</t>
        </is>
      </c>
    </row>
    <row r="6" ht="15" customHeight="1">
      <c r="A6" s="3" t="inlineStr">
        <is>
          <t>Filter</t>
        </is>
      </c>
      <c r="B6" s="2" t="inlineStr">
        <is>
          <t>Pentair Nautilus FNS Plus 48 sq ft D.E.</t>
        </is>
      </c>
    </row>
    <row r="7" ht="15" customHeight="1">
      <c r="A7" s="3" t="inlineStr">
        <is>
          <t>Multiport valve</t>
        </is>
      </c>
      <c r="B7" s="2" t="inlineStr">
        <is>
          <t>Praher SM10-2D.E. (G-416 spider gasket replaced)</t>
        </is>
      </c>
    </row>
    <row r="8" ht="15" customHeight="1">
      <c r="A8" s="3" t="inlineStr">
        <is>
          <t>Well flow rate</t>
        </is>
      </c>
      <c r="B8" s="2" t="inlineStr">
        <is>
          <t>~3.1 GPM (5 gal / 96 sec)</t>
        </is>
      </c>
    </row>
    <row r="9" ht="15" customHeight="1">
      <c r="A9" s="3" t="n"/>
      <c r="B9" s="2" t="n"/>
    </row>
    <row r="10" ht="15" customHeight="1">
      <c r="A10" s="1" t="inlineStr">
        <is>
          <t>CHLORINE / DOSING</t>
        </is>
      </c>
      <c r="B10" s="2" t="n"/>
    </row>
    <row r="11" ht="15" customHeight="1">
      <c r="A11" s="3" t="inlineStr">
        <is>
          <t>Chlorine product</t>
        </is>
      </c>
      <c r="B11" s="2" t="inlineStr">
        <is>
          <t>Pool Tech 12.5% sodium hypochlorite (liquid)</t>
        </is>
      </c>
    </row>
    <row r="12" ht="15" customHeight="1">
      <c r="A12" s="3" t="inlineStr">
        <is>
          <t>Dosing rule</t>
        </is>
      </c>
      <c r="B12" s="2" t="inlineStr">
        <is>
          <t>~1 gallon raises FC ~3.5 ppm in this pool</t>
        </is>
      </c>
    </row>
    <row r="13" ht="15" customHeight="1">
      <c r="A13" s="3" t="n"/>
      <c r="B13" s="2" t="inlineStr">
        <is>
          <t>(~36 oz per +1 ppm)</t>
        </is>
      </c>
    </row>
    <row r="14" ht="15" customHeight="1">
      <c r="A14" s="3" t="n"/>
      <c r="B14" s="2" t="n"/>
    </row>
    <row r="15" ht="15" customHeight="1">
      <c r="A15" s="3" t="inlineStr">
        <is>
          <t>TARGET BANDS (depend on CYA)</t>
        </is>
      </c>
      <c r="B15" s="2" t="n"/>
    </row>
    <row r="16" ht="15" customHeight="1">
      <c r="A16" s="3" t="inlineStr">
        <is>
          <t>At CYA ~160 (current)</t>
        </is>
      </c>
      <c r="B16" s="2" t="inlineStr">
        <is>
          <t>FC floor 11, target 13-16, aim ~16 when dosing</t>
        </is>
      </c>
    </row>
    <row r="17" ht="15" customHeight="1">
      <c r="A17" s="3" t="inlineStr">
        <is>
          <t>At CYA ~100</t>
        </is>
      </c>
      <c r="B17" s="2" t="inlineStr">
        <is>
          <t>FC floor 7, target ~11</t>
        </is>
      </c>
    </row>
    <row r="18" ht="15" customHeight="1">
      <c r="A18" s="3" t="inlineStr">
        <is>
          <t>At CYA ~80</t>
        </is>
      </c>
      <c r="B18" s="2" t="inlineStr">
        <is>
          <t>FC ~6-9</t>
        </is>
      </c>
    </row>
    <row r="19" ht="15" customHeight="1">
      <c r="A19" s="3" t="inlineStr">
        <is>
          <t>At CYA ~50</t>
        </is>
      </c>
      <c r="B19" s="2" t="inlineStr">
        <is>
          <t>FC ~4-6</t>
        </is>
      </c>
    </row>
    <row r="20" ht="15" customHeight="1">
      <c r="A20" s="3" t="n"/>
      <c r="B20" s="2" t="n"/>
    </row>
    <row r="21" ht="15" customHeight="1">
      <c r="A21" s="1" t="inlineStr">
        <is>
          <t>CURRENT CHEMISTRY STATUS</t>
        </is>
      </c>
      <c r="B21" s="2" t="n"/>
    </row>
    <row r="22" ht="15" customHeight="1">
      <c r="A22" s="3" t="inlineStr">
        <is>
          <t>pH 7.3</t>
        </is>
      </c>
      <c r="B22" s="2" t="inlineStr">
        <is>
          <t>Fine, leave alone</t>
        </is>
      </c>
    </row>
    <row r="23" ht="15" customHeight="1">
      <c r="A23" s="3" t="inlineStr">
        <is>
          <t>TA ~130-140</t>
        </is>
      </c>
      <c r="B23" s="2" t="inlineStr">
        <is>
          <t>Slightly high, drifting down on its own, leave</t>
        </is>
      </c>
    </row>
    <row r="24" ht="15" customHeight="1">
      <c r="A24" s="3" t="inlineStr">
        <is>
          <t>CH ~150-160</t>
        </is>
      </c>
      <c r="B24" s="2" t="inlineStr">
        <is>
          <t>Vinyl liner - ignore, do not add calcium</t>
        </is>
      </c>
    </row>
    <row r="25" ht="15" customHeight="1">
      <c r="A25" s="3" t="inlineStr">
        <is>
          <t>CYA ~160</t>
        </is>
      </c>
      <c r="B25" s="2" t="inlineStr">
        <is>
          <t>High; lowering passively via backwash+freshwater, rain, top-offs</t>
        </is>
      </c>
    </row>
    <row r="26" ht="15" customHeight="1">
      <c r="A26" s="3" t="inlineStr">
        <is>
          <t>CC</t>
        </is>
      </c>
      <c r="B26" s="2" t="inlineStr">
        <is>
          <t>Keep at/near 0 (high FC clears it)</t>
        </is>
      </c>
    </row>
    <row r="27" ht="15" customHeight="1">
      <c r="A27" s="3" t="n"/>
      <c r="B27" s="2" t="n"/>
    </row>
    <row r="28" ht="15" customHeight="1">
      <c r="A28" s="1" t="inlineStr">
        <is>
          <t>TESTING METHOD</t>
        </is>
      </c>
      <c r="B28" s="2" t="n"/>
    </row>
    <row r="29" ht="15" customHeight="1">
      <c r="A29" s="3" t="inlineStr">
        <is>
          <t>FC/CC</t>
        </is>
      </c>
      <c r="B29" s="2" t="inlineStr">
        <is>
          <t>ALWAYS 25 mL fill, drops x 0.2</t>
        </is>
      </c>
    </row>
    <row r="30" ht="15" customHeight="1">
      <c r="A30" s="3" t="inlineStr">
        <is>
          <t>Routine</t>
        </is>
      </c>
      <c r="B30" s="2" t="inlineStr">
        <is>
          <t>Test + dose at noon daily (test first, then dose)</t>
        </is>
      </c>
    </row>
    <row r="31" ht="15" customHeight="1">
      <c r="A31" s="3" t="inlineStr">
        <is>
          <t>Pump schedule</t>
        </is>
      </c>
      <c r="B31" s="2" t="inlineStr">
        <is>
          <t>On ~7 AM, off ~10 PM</t>
        </is>
      </c>
    </row>
    <row r="32" ht="15" customHeight="1">
      <c r="A32" s="3" t="n"/>
      <c r="B32" s="2" t="n"/>
    </row>
    <row r="33" ht="15" customHeight="1">
      <c r="A33" s="1" t="inlineStr">
        <is>
          <t>OPEN ITEMS</t>
        </is>
      </c>
      <c r="B33" s="2" t="n"/>
    </row>
    <row r="34" ht="25.5" customHeight="1">
      <c r="A34" s="3" t="inlineStr">
        <is>
          <t>CYA reduction</t>
        </is>
      </c>
      <c r="B34" s="2" t="inlineStr">
        <is>
          <t>Passive only (no drawdown - protect 3 GPM well). Recheck CYA every few weeks.</t>
        </is>
      </c>
    </row>
    <row r="35" ht="25.5" customHeight="1">
      <c r="A35" s="3" t="inlineStr">
        <is>
          <t>Metal stain (shallow end)</t>
        </is>
      </c>
      <c r="B35" s="2" t="inlineStr">
        <is>
          <t>Suspected; confirm with vitamin C / ascorbic acid spot test. Treatment deferred (ideally fall closing).</t>
        </is>
      </c>
    </row>
    <row r="36" ht="15" customHeight="1">
      <c r="A36" s="3" t="inlineStr">
        <is>
          <t>Reagent refill</t>
        </is>
      </c>
      <c r="B36" s="2" t="inlineStr">
        <is>
          <t>Ordered; full FAS-DPD refill. Use fresh once arrived.</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2026-06-22T13:28:57Z</dcterms:created>
  <dcterms:modified xmlns:dcterms="http://purl.org/dc/terms/" xmlns:xsi="http://www.w3.org/2001/XMLSchema-instance" xsi:type="dcterms:W3CDTF">2026-08-01T17:24:45Z</dcterms:modified>
  <cp:lastModifiedBy>John Evans</cp:lastModifiedBy>
  <cp:revision>0</cp:revision>
</cp:coreProperties>
</file>