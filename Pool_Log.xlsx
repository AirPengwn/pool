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Reference" sheetId="2" state="visible" r:id="rId2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+0.0;-0.0;0.0"/>
  </numFmts>
  <fonts count="9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family val="2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0"/>
    </font>
    <font>
      <name val="Calibri"/>
      <b val="1"/>
      <color rgb="FFFFFFFF"/>
      <sz val="11"/>
    </font>
    <font>
      <name val="Calibri"/>
      <sz val="11"/>
    </font>
    <font>
      <name val="Calibri"/>
      <b val="1"/>
      <sz val="11"/>
    </font>
  </fonts>
  <fills count="9">
    <fill>
      <patternFill/>
    </fill>
    <fill>
      <patternFill patternType="gray125"/>
    </fill>
    <fill>
      <patternFill patternType="solid">
        <fgColor rgb="FF1F6FB2"/>
        <bgColor rgb="FF008080"/>
      </patternFill>
    </fill>
    <fill>
      <patternFill patternType="solid">
        <fgColor rgb="FFC4C4C4"/>
      </patternFill>
    </fill>
    <fill>
      <patternFill patternType="solid">
        <fgColor rgb="00C4C4C4"/>
      </patternFill>
    </fill>
    <fill>
      <patternFill patternType="solid">
        <fgColor rgb="00DDEBF7"/>
      </patternFill>
    </fill>
    <fill>
      <patternFill patternType="solid">
        <fgColor rgb="FF1F6FB2"/>
      </patternFill>
    </fill>
    <fill>
      <patternFill patternType="solid">
        <fgColor rgb="FFBDD7EE"/>
      </patternFill>
    </fill>
    <fill>
      <patternFill patternType="solid">
        <fgColor rgb="FF9DC3E6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thin">
        <color rgb="FF808080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thin">
        <color rgb="FF808080"/>
      </bottom>
      <diagonal/>
    </border>
    <border>
      <left style="medium">
        <color rgb="00333333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thin">
        <color rgb="00808080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thin">
        <color rgb="00808080"/>
      </bottom>
    </border>
    <border>
      <left/>
      <right/>
      <top style="medium">
        <color rgb="00333333"/>
      </top>
      <bottom/>
      <diagonal/>
    </border>
    <border>
      <left/>
      <right style="thin">
        <color rgb="00808080"/>
      </right>
      <top style="medium">
        <color rgb="00333333"/>
      </top>
      <bottom/>
      <diagonal/>
    </border>
    <border>
      <left/>
      <right/>
      <top style="medium">
        <color rgb="00333333"/>
      </top>
      <bottom style="medium">
        <color rgb="00333333"/>
      </bottom>
      <diagonal/>
    </border>
    <border>
      <left/>
      <right style="thin">
        <color rgb="00808080"/>
      </right>
      <top style="medium">
        <color rgb="00333333"/>
      </top>
      <bottom style="medium">
        <color rgb="00333333"/>
      </bottom>
      <diagonal/>
    </border>
  </borders>
  <cellStyleXfs count="1">
    <xf numFmtId="0" fontId="0" fillId="0" borderId="0"/>
  </cellStyleXfs>
  <cellXfs count="1201">
    <xf numFmtId="0" fontId="0" fillId="0" borderId="0" pivotButton="0" quotePrefix="0" xfId="0"/>
    <xf numFmtId="0" fontId="3" fillId="2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164" fontId="2" fillId="0" borderId="6" applyAlignment="1" pivotButton="0" quotePrefix="0" xfId="0">
      <alignment horizontal="center" vertical="center"/>
    </xf>
    <xf numFmtId="1" fontId="2" fillId="0" borderId="6" applyAlignment="1" pivotButton="0" quotePrefix="0" xfId="0">
      <alignment horizontal="center" vertical="center"/>
    </xf>
    <xf numFmtId="164" fontId="0" fillId="0" borderId="6" applyAlignment="1" pivotButton="0" quotePrefix="0" xfId="0">
      <alignment horizontal="center" vertical="center"/>
    </xf>
    <xf numFmtId="2" fontId="0" fillId="0" borderId="6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 vertical="center" wrapText="1"/>
    </xf>
    <xf numFmtId="0" fontId="2" fillId="0" borderId="8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164" fontId="2" fillId="0" borderId="9" applyAlignment="1" pivotButton="0" quotePrefix="0" xfId="0">
      <alignment horizontal="center" vertical="center"/>
    </xf>
    <xf numFmtId="1" fontId="2" fillId="0" borderId="9" applyAlignment="1" pivotButton="0" quotePrefix="0" xfId="0">
      <alignment horizontal="center" vertical="center"/>
    </xf>
    <xf numFmtId="164" fontId="0" fillId="0" borderId="9" applyAlignment="1" pivotButton="0" quotePrefix="0" xfId="0">
      <alignment horizontal="center" vertical="center"/>
    </xf>
    <xf numFmtId="2" fontId="0" fillId="0" borderId="9" applyAlignment="1" pivotButton="0" quotePrefix="0" xfId="0">
      <alignment horizontal="center" vertical="center"/>
    </xf>
    <xf numFmtId="1" fontId="0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left" vertical="center" wrapText="1"/>
    </xf>
    <xf numFmtId="0" fontId="2" fillId="3" borderId="5" applyAlignment="1" pivotButton="0" quotePrefix="0" xfId="0">
      <alignment horizontal="center" vertical="center"/>
    </xf>
    <xf numFmtId="0" fontId="2" fillId="3" borderId="6" applyAlignment="1" pivotButton="0" quotePrefix="0" xfId="0">
      <alignment horizontal="center" vertical="center"/>
    </xf>
    <xf numFmtId="164" fontId="2" fillId="3" borderId="6" applyAlignment="1" pivotButton="0" quotePrefix="0" xfId="0">
      <alignment horizontal="center" vertical="center"/>
    </xf>
    <xf numFmtId="1" fontId="2" fillId="3" borderId="6" applyAlignment="1" pivotButton="0" quotePrefix="0" xfId="0">
      <alignment horizontal="center" vertical="center"/>
    </xf>
    <xf numFmtId="2" fontId="0" fillId="3" borderId="6" applyAlignment="1" pivotButton="0" quotePrefix="0" xfId="0">
      <alignment horizontal="center" vertical="center"/>
    </xf>
    <xf numFmtId="1" fontId="0" fillId="3" borderId="6" applyAlignment="1" pivotButton="0" quotePrefix="0" xfId="0">
      <alignment horizontal="center" vertical="center"/>
    </xf>
    <xf numFmtId="0" fontId="0" fillId="3" borderId="6" applyAlignment="1" pivotButton="0" quotePrefix="0" xfId="0">
      <alignment horizontal="left" vertical="center" wrapText="1"/>
    </xf>
    <xf numFmtId="0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left" vertical="center" wrapText="1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164" fontId="2" fillId="3" borderId="12" applyAlignment="1" pivotButton="0" quotePrefix="0" xfId="0">
      <alignment horizontal="center" vertical="center"/>
    </xf>
    <xf numFmtId="1" fontId="2" fillId="3" borderId="12" applyAlignment="1" pivotButton="0" quotePrefix="0" xfId="0">
      <alignment horizontal="center" vertical="center"/>
    </xf>
    <xf numFmtId="164" fontId="0" fillId="3" borderId="12" applyAlignment="1" pivotButton="0" quotePrefix="0" xfId="0">
      <alignment horizontal="center" vertical="center"/>
    </xf>
    <xf numFmtId="2" fontId="0" fillId="3" borderId="12" applyAlignment="1" pivotButton="0" quotePrefix="0" xfId="0">
      <alignment horizontal="center" vertical="center"/>
    </xf>
    <xf numFmtId="1" fontId="0" fillId="3" borderId="12" applyAlignment="1" pivotButton="0" quotePrefix="0" xfId="0">
      <alignment horizontal="center" vertical="center"/>
    </xf>
    <xf numFmtId="0" fontId="0" fillId="3" borderId="12" applyAlignment="1" pivotButton="0" quotePrefix="0" xfId="0">
      <alignment horizontal="left" vertical="center" wrapText="1"/>
    </xf>
    <xf numFmtId="0" fontId="0" fillId="3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left" vertical="center" wrapText="1"/>
    </xf>
    <xf numFmtId="0" fontId="2" fillId="3" borderId="8" applyAlignment="1" pivotButton="0" quotePrefix="0" xfId="0">
      <alignment horizontal="center" vertical="center"/>
    </xf>
    <xf numFmtId="0" fontId="2" fillId="3" borderId="9" applyAlignment="1" pivotButton="0" quotePrefix="0" xfId="0">
      <alignment horizontal="center" vertical="center"/>
    </xf>
    <xf numFmtId="164" fontId="2" fillId="3" borderId="9" applyAlignment="1" pivotButton="0" quotePrefix="0" xfId="0">
      <alignment horizontal="center" vertical="center"/>
    </xf>
    <xf numFmtId="1" fontId="2" fillId="3" borderId="9" applyAlignment="1" pivotButton="0" quotePrefix="0" xfId="0">
      <alignment horizontal="center" vertical="center"/>
    </xf>
    <xf numFmtId="164" fontId="0" fillId="3" borderId="9" applyAlignment="1" pivotButton="0" quotePrefix="0" xfId="0">
      <alignment horizontal="center" vertical="center"/>
    </xf>
    <xf numFmtId="2" fontId="0" fillId="3" borderId="9" applyAlignment="1" pivotButton="0" quotePrefix="0" xfId="0">
      <alignment horizontal="center" vertical="center"/>
    </xf>
    <xf numFmtId="1" fontId="0" fillId="3" borderId="9" applyAlignment="1" pivotButton="0" quotePrefix="0" xfId="0">
      <alignment horizontal="center" vertical="center"/>
    </xf>
    <xf numFmtId="0" fontId="0" fillId="3" borderId="9" applyAlignment="1" pivotButton="0" quotePrefix="0" xfId="0">
      <alignment horizontal="left" vertical="center" wrapText="1"/>
    </xf>
    <xf numFmtId="0" fontId="0" fillId="3" borderId="9" applyAlignment="1" pivotButton="0" quotePrefix="0" xfId="0">
      <alignment horizontal="center" vertical="center"/>
    </xf>
    <xf numFmtId="0" fontId="0" fillId="3" borderId="10" applyAlignment="1" pivotButton="0" quotePrefix="0" xfId="0">
      <alignment horizontal="left" vertical="center" wrapText="1"/>
    </xf>
    <xf numFmtId="0" fontId="2" fillId="0" borderId="11" applyAlignment="1" pivotButton="0" quotePrefix="0" xfId="0">
      <alignment horizontal="center" vertical="center"/>
    </xf>
    <xf numFmtId="0" fontId="2" fillId="0" borderId="12" applyAlignment="1" pivotButton="0" quotePrefix="0" xfId="0">
      <alignment horizontal="center" vertical="center"/>
    </xf>
    <xf numFmtId="164" fontId="2" fillId="0" borderId="12" applyAlignment="1" pivotButton="0" quotePrefix="0" xfId="0">
      <alignment horizontal="center" vertical="center"/>
    </xf>
    <xf numFmtId="1" fontId="2" fillId="0" borderId="12" applyAlignment="1" pivotButton="0" quotePrefix="0" xfId="0">
      <alignment horizontal="center" vertical="center"/>
    </xf>
    <xf numFmtId="2" fontId="0" fillId="0" borderId="12" applyAlignment="1" pivotButton="0" quotePrefix="0" xfId="0">
      <alignment horizontal="center" vertical="center"/>
    </xf>
    <xf numFmtId="1" fontId="0" fillId="0" borderId="12" applyAlignment="1" pivotButton="0" quotePrefix="0" xfId="0">
      <alignment horizontal="center" vertical="center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left" vertical="center" wrapText="1"/>
    </xf>
    <xf numFmtId="164" fontId="0" fillId="0" borderId="12" applyAlignment="1" pivotButton="0" quotePrefix="0" xfId="0">
      <alignment horizontal="center" vertical="center"/>
    </xf>
    <xf numFmtId="164" fontId="0" fillId="3" borderId="6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 wrapText="1"/>
    </xf>
    <xf numFmtId="0" fontId="1" fillId="2" borderId="15" applyAlignment="1" pivotButton="0" quotePrefix="0" xfId="0">
      <alignment horizontal="center" vertical="center" wrapText="1"/>
    </xf>
    <xf numFmtId="0" fontId="1" fillId="2" borderId="16" applyAlignment="1" pivotButton="0" quotePrefix="0" xfId="0">
      <alignment horizontal="center" vertical="center" wrapText="1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left" vertical="center" wrapText="1"/>
    </xf>
    <xf numFmtId="0" fontId="0" fillId="0" borderId="18" applyAlignment="1" pivotButton="0" quotePrefix="0" xfId="0">
      <alignment horizontal="center" vertical="center"/>
    </xf>
    <xf numFmtId="0" fontId="0" fillId="0" borderId="19" applyAlignment="1" pivotButton="0" quotePrefix="0" xfId="0">
      <alignment horizontal="left" vertical="center" wrapText="1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 wrapText="1"/>
    </xf>
    <xf numFmtId="0" fontId="0" fillId="0" borderId="21" applyAlignment="1" pivotButton="0" quotePrefix="0" xfId="0">
      <alignment horizontal="center" vertical="center"/>
    </xf>
    <xf numFmtId="0" fontId="0" fillId="0" borderId="22" applyAlignment="1" pivotButton="0" quotePrefix="0" xfId="0">
      <alignment horizontal="left" vertical="center" wrapText="1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left" vertical="center" wrapText="1"/>
    </xf>
    <xf numFmtId="0" fontId="0" fillId="4" borderId="18" applyAlignment="1" pivotButton="0" quotePrefix="0" xfId="0">
      <alignment horizontal="center" vertical="center"/>
    </xf>
    <xf numFmtId="0" fontId="0" fillId="4" borderId="19" applyAlignment="1" pivotButton="0" quotePrefix="0" xfId="0">
      <alignment horizontal="left" vertical="center" wrapText="1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left" vertical="center" wrapText="1"/>
    </xf>
    <xf numFmtId="0" fontId="0" fillId="4" borderId="24" applyAlignment="1" pivotButton="0" quotePrefix="0" xfId="0">
      <alignment horizontal="center" vertical="center"/>
    </xf>
    <xf numFmtId="0" fontId="0" fillId="4" borderId="25" applyAlignment="1" pivotButton="0" quotePrefix="0" xfId="0">
      <alignment horizontal="left" vertical="center" wrapText="1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left" vertical="center" wrapText="1"/>
    </xf>
    <xf numFmtId="0" fontId="0" fillId="4" borderId="21" applyAlignment="1" pivotButton="0" quotePrefix="0" xfId="0">
      <alignment horizontal="center" vertical="center"/>
    </xf>
    <xf numFmtId="0" fontId="0" fillId="4" borderId="22" applyAlignment="1" pivotButton="0" quotePrefix="0" xfId="0">
      <alignment horizontal="left" vertical="center" wrapText="1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left" vertical="center" wrapText="1"/>
    </xf>
    <xf numFmtId="0" fontId="0" fillId="0" borderId="24" applyAlignment="1" pivotButton="0" quotePrefix="0" xfId="0">
      <alignment horizontal="center" vertical="center"/>
    </xf>
    <xf numFmtId="0" fontId="0" fillId="0" borderId="25" applyAlignment="1" pivotButton="0" quotePrefix="0" xfId="0">
      <alignment horizontal="left" vertical="center" wrapText="1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6" fillId="2" borderId="14" applyAlignment="1" pivotButton="0" quotePrefix="0" xfId="0">
      <alignment horizontal="center" vertical="center" wrapText="1"/>
    </xf>
    <xf numFmtId="0" fontId="6" fillId="2" borderId="15" applyAlignment="1" pivotButton="0" quotePrefix="0" xfId="0">
      <alignment horizontal="center" vertical="center" wrapText="1"/>
    </xf>
    <xf numFmtId="0" fontId="6" fillId="2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18" applyAlignment="1" pivotButton="0" quotePrefix="0" xfId="0">
      <alignment horizontal="left" vertical="center" wrapText="1"/>
    </xf>
    <xf numFmtId="0" fontId="7" fillId="0" borderId="19" applyAlignment="1" pivotButton="0" quotePrefix="0" xfId="0">
      <alignment horizontal="left" vertical="center" wrapText="1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0" borderId="21" applyAlignment="1" pivotButton="0" quotePrefix="0" xfId="0">
      <alignment horizontal="left" vertical="center" wrapText="1"/>
    </xf>
    <xf numFmtId="0" fontId="7" fillId="0" borderId="22" applyAlignment="1" pivotButton="0" quotePrefix="0" xfId="0">
      <alignment horizontal="left" vertical="center" wrapText="1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18" applyAlignment="1" pivotButton="0" quotePrefix="0" xfId="0">
      <alignment horizontal="left" vertical="center" wrapText="1"/>
    </xf>
    <xf numFmtId="0" fontId="7" fillId="4" borderId="19" applyAlignment="1" pivotButton="0" quotePrefix="0" xfId="0">
      <alignment horizontal="left" vertical="center" wrapText="1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4" applyAlignment="1" pivotButton="0" quotePrefix="0" xfId="0">
      <alignment horizontal="left" vertical="center" wrapText="1"/>
    </xf>
    <xf numFmtId="0" fontId="7" fillId="4" borderId="25" applyAlignment="1" pivotButton="0" quotePrefix="0" xfId="0">
      <alignment horizontal="left" vertical="center" wrapText="1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4" borderId="21" applyAlignment="1" pivotButton="0" quotePrefix="0" xfId="0">
      <alignment horizontal="left" vertical="center" wrapText="1"/>
    </xf>
    <xf numFmtId="0" fontId="7" fillId="4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24" applyAlignment="1" pivotButton="0" quotePrefix="0" xfId="0">
      <alignment horizontal="left" vertical="center" wrapText="1"/>
    </xf>
    <xf numFmtId="0" fontId="7" fillId="0" borderId="25" applyAlignment="1" pivotButton="0" quotePrefix="0" xfId="0">
      <alignment horizontal="left" vertical="center" wrapText="1"/>
    </xf>
    <xf numFmtId="0" fontId="8" fillId="5" borderId="14" applyAlignment="1" pivotButton="0" quotePrefix="0" xfId="0">
      <alignment horizontal="left" vertical="center"/>
    </xf>
    <xf numFmtId="0" fontId="8" fillId="5" borderId="15" applyAlignment="1" pivotButton="0" quotePrefix="0" xfId="0">
      <alignment horizontal="center" vertical="center" wrapText="1"/>
    </xf>
    <xf numFmtId="164" fontId="8" fillId="5" borderId="15" applyAlignment="1" pivotButton="0" quotePrefix="0" xfId="0">
      <alignment horizontal="center" vertical="center" wrapText="1"/>
    </xf>
    <xf numFmtId="1" fontId="8" fillId="5" borderId="15" applyAlignment="1" pivotButton="0" quotePrefix="0" xfId="0">
      <alignment horizontal="center" vertical="center" wrapText="1"/>
    </xf>
    <xf numFmtId="2" fontId="8" fillId="5" borderId="15" applyAlignment="1" pivotButton="0" quotePrefix="0" xfId="0">
      <alignment horizontal="center" vertical="center" wrapText="1"/>
    </xf>
    <xf numFmtId="0" fontId="8" fillId="5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6" fillId="6" borderId="14" applyAlignment="1" pivotButton="0" quotePrefix="0" xfId="0">
      <alignment horizontal="center" vertical="center" wrapText="1"/>
    </xf>
    <xf numFmtId="0" fontId="6" fillId="6" borderId="15" applyAlignment="1" pivotButton="0" quotePrefix="0" xfId="0">
      <alignment horizontal="center" vertical="center" wrapText="1"/>
    </xf>
    <xf numFmtId="0" fontId="6" fillId="6" borderId="16" applyAlignment="1" pivotButton="0" quotePrefix="0" xfId="0">
      <alignment horizontal="center" vertical="center" wrapText="1"/>
    </xf>
    <xf numFmtId="0" fontId="8" fillId="7" borderId="14" applyAlignment="1" pivotButton="0" quotePrefix="0" xfId="0">
      <alignment horizontal="left" vertical="center"/>
    </xf>
    <xf numFmtId="0" fontId="8" fillId="7" borderId="15" applyAlignment="1" pivotButton="0" quotePrefix="0" xfId="0">
      <alignment horizontal="center" vertical="center" wrapText="1"/>
    </xf>
    <xf numFmtId="164" fontId="8" fillId="7" borderId="15" applyAlignment="1" pivotButton="0" quotePrefix="0" xfId="0">
      <alignment horizontal="center" vertical="center" wrapText="1"/>
    </xf>
    <xf numFmtId="1" fontId="8" fillId="7" borderId="15" applyAlignment="1" pivotButton="0" quotePrefix="0" xfId="0">
      <alignment horizontal="center" vertical="center" wrapText="1"/>
    </xf>
    <xf numFmtId="2" fontId="8" fillId="7" borderId="15" applyAlignment="1" pivotButton="0" quotePrefix="0" xfId="0">
      <alignment horizontal="center" vertical="center" wrapText="1"/>
    </xf>
    <xf numFmtId="0" fontId="8" fillId="7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18" applyAlignment="1" pivotButton="0" quotePrefix="0" xfId="0">
      <alignment horizontal="left" vertical="center" wrapText="1"/>
    </xf>
    <xf numFmtId="0" fontId="7" fillId="3" borderId="19" applyAlignment="1" pivotButton="0" quotePrefix="0" xfId="0">
      <alignment horizontal="left" vertical="center" wrapText="1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4" applyAlignment="1" pivotButton="0" quotePrefix="0" xfId="0">
      <alignment horizontal="left" vertical="center" wrapText="1"/>
    </xf>
    <xf numFmtId="0" fontId="7" fillId="3" borderId="25" applyAlignment="1" pivotButton="0" quotePrefix="0" xfId="0">
      <alignment horizontal="left" vertical="center" wrapText="1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3" borderId="21" applyAlignment="1" pivotButton="0" quotePrefix="0" xfId="0">
      <alignment horizontal="left" vertical="center" wrapText="1"/>
    </xf>
    <xf numFmtId="0" fontId="7" fillId="3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8" fillId="8" borderId="14" applyAlignment="1" pivotButton="0" quotePrefix="0" xfId="0">
      <alignment horizontal="left" vertical="center"/>
    </xf>
    <xf numFmtId="0" fontId="8" fillId="8" borderId="15" applyAlignment="1" pivotButton="0" quotePrefix="0" xfId="0">
      <alignment horizontal="center" vertical="center" wrapText="1"/>
    </xf>
    <xf numFmtId="164" fontId="8" fillId="8" borderId="15" applyAlignment="1" pivotButton="0" quotePrefix="0" xfId="0">
      <alignment horizontal="center" vertical="center" wrapText="1"/>
    </xf>
    <xf numFmtId="1" fontId="8" fillId="8" borderId="15" applyAlignment="1" pivotButton="0" quotePrefix="0" xfId="0">
      <alignment horizontal="center" vertical="center" wrapText="1"/>
    </xf>
    <xf numFmtId="2" fontId="8" fillId="8" borderId="15" applyAlignment="1" pivotButton="0" quotePrefix="0" xfId="0">
      <alignment horizontal="center" vertical="center" wrapText="1"/>
    </xf>
    <xf numFmtId="0" fontId="8" fillId="8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5" fontId="8" fillId="8" borderId="15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5" applyAlignment="1" pivotButton="0" quotePrefix="0" xfId="0">
      <alignment horizontal="left" vertical="center" wrapText="1"/>
    </xf>
    <xf numFmtId="0" fontId="7" fillId="0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3" borderId="15" applyAlignment="1" pivotButton="0" quotePrefix="0" xfId="0">
      <alignment horizontal="left" vertical="center" wrapText="1"/>
    </xf>
    <xf numFmtId="0" fontId="7" fillId="3" borderId="16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1F6FB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46"/>
  <sheetViews>
    <sheetView tabSelected="1"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15.14" customWidth="1" min="1" max="1"/>
    <col width="17.71" customWidth="1" min="2" max="2"/>
    <col width="15.71" customWidth="1" min="3" max="3"/>
    <col width="6" customWidth="1" min="4" max="6"/>
    <col width="13" customWidth="1" min="5" max="5"/>
    <col width="13" customWidth="1" min="6" max="6"/>
    <col width="12.14" customWidth="1" min="7" max="7"/>
    <col width="13" customWidth="1" min="8" max="9"/>
    <col width="12" customWidth="1" min="9" max="9"/>
    <col width="6" customWidth="1" min="10" max="10"/>
    <col width="13" customWidth="1" min="11" max="11"/>
    <col width="8" customWidth="1" min="12" max="12"/>
    <col width="12" customWidth="1" min="13" max="13"/>
    <col width="11" customWidth="1" min="14" max="14"/>
    <col width="9" customWidth="1" min="15" max="15"/>
    <col width="8" customWidth="1" min="16" max="16"/>
    <col width="10" customWidth="1" min="17" max="17"/>
    <col width="11" customWidth="1" min="18" max="18"/>
    <col width="13" customWidth="1" min="19" max="19"/>
    <col width="38" customWidth="1" min="20" max="20"/>
    <col width="16" customWidth="1" min="21" max="21"/>
    <col width="83.86" customWidth="1" min="22" max="22"/>
  </cols>
  <sheetData>
    <row r="1" ht="28" customHeight="1">
      <c r="A1" s="789" t="inlineStr">
        <is>
          <t>Date</t>
        </is>
      </c>
      <c r="B1" s="790" t="inlineStr">
        <is>
          <t>Time</t>
        </is>
      </c>
      <c r="C1" s="790" t="inlineStr">
        <is>
          <t>Type</t>
        </is>
      </c>
      <c r="D1" s="790" t="inlineStr">
        <is>
          <t>pH</t>
        </is>
      </c>
      <c r="E1" s="790" t="inlineStr">
        <is>
          <t>FC</t>
        </is>
      </c>
      <c r="F1" s="790" t="inlineStr">
        <is>
          <t>CC</t>
        </is>
      </c>
      <c r="G1" s="790" t="inlineStr">
        <is>
          <t>FC loss (ppm/24h)</t>
        </is>
      </c>
      <c r="H1" s="790" t="inlineStr">
        <is>
          <t>Pred next-noon FC</t>
        </is>
      </c>
      <c r="I1" s="790" t="inlineStr">
        <is>
          <t>Pred error (ppm)</t>
        </is>
      </c>
      <c r="J1" s="790" t="inlineStr">
        <is>
          <t>TA</t>
        </is>
      </c>
      <c r="K1" s="790" t="inlineStr">
        <is>
          <t>CH</t>
        </is>
      </c>
      <c r="L1" s="790" t="inlineStr">
        <is>
          <t>CYA</t>
        </is>
      </c>
      <c r="M1" s="790" t="inlineStr">
        <is>
          <t>Chlorine added (gal)</t>
        </is>
      </c>
      <c r="N1" s="790" t="inlineStr">
        <is>
          <t>Cum. Cl (gal)</t>
        </is>
      </c>
      <c r="O1" s="790" t="inlineStr">
        <is>
          <t>Sun (hrs)</t>
        </is>
      </c>
      <c r="P1" s="790" t="inlineStr">
        <is>
          <t>Rain (in)</t>
        </is>
      </c>
      <c r="Q1" s="790" t="inlineStr">
        <is>
          <t>Fill (gal)</t>
        </is>
      </c>
      <c r="R1" s="790" t="inlineStr">
        <is>
          <t>Water temp (°F)</t>
        </is>
      </c>
      <c r="S1" s="790" t="inlineStr">
        <is>
          <t>Water level (cm)</t>
        </is>
      </c>
      <c r="T1" s="790" t="inlineStr">
        <is>
          <t>Weather</t>
        </is>
      </c>
      <c r="U1" s="790" t="inlineStr">
        <is>
          <t>Photo</t>
        </is>
      </c>
      <c r="V1" s="791" t="inlineStr">
        <is>
          <t>Notes</t>
        </is>
      </c>
    </row>
    <row r="2" ht="20" customHeight="1">
      <c r="A2" s="834" t="inlineStr">
        <is>
          <t>SEASON TOTALS</t>
        </is>
      </c>
      <c r="B2" s="835" t="n"/>
      <c r="C2" s="835" t="n"/>
      <c r="D2" s="836" t="n"/>
      <c r="E2" s="836" t="n"/>
      <c r="F2" s="836" t="n"/>
      <c r="G2" s="836" t="n"/>
      <c r="H2" s="836" t="n"/>
      <c r="I2" s="932" t="n"/>
      <c r="J2" s="837" t="n"/>
      <c r="K2" s="837" t="n"/>
      <c r="L2" s="837" t="n"/>
      <c r="M2" s="836">
        <f>SUM(M3:M5000)</f>
        <v/>
      </c>
      <c r="N2" s="836" t="n"/>
      <c r="O2" s="836" t="n"/>
      <c r="P2" s="838">
        <f>SUM(P3:P5000)</f>
        <v/>
      </c>
      <c r="Q2" s="836">
        <f>SUM(Q3:Q5000)</f>
        <v/>
      </c>
      <c r="R2" s="836" t="n"/>
      <c r="S2" s="836" t="n"/>
      <c r="T2" s="835" t="n"/>
      <c r="U2" s="835" t="n"/>
      <c r="V2" s="839" t="n"/>
    </row>
    <row r="3">
      <c r="A3" s="1157" t="inlineStr">
        <is>
          <t>2026-06-18</t>
        </is>
      </c>
      <c r="B3" s="1158" t="n"/>
      <c r="C3" s="1158" t="inlineStr">
        <is>
          <t>EVENT - Open</t>
        </is>
      </c>
      <c r="D3" s="1159" t="n"/>
      <c r="E3" s="1159" t="n"/>
      <c r="F3" s="1159" t="n"/>
      <c r="G3" s="1159" t="n"/>
      <c r="H3" s="1159" t="n"/>
      <c r="I3" s="1160" t="n"/>
      <c r="J3" s="1161" t="n"/>
      <c r="K3" s="1161" t="n"/>
      <c r="L3" s="1161" t="n"/>
      <c r="M3" s="1159" t="n"/>
      <c r="N3" s="1159" t="n"/>
      <c r="O3" s="1159" t="n"/>
      <c r="P3" s="1162" t="n"/>
      <c r="Q3" s="1159" t="n"/>
      <c r="R3" s="1159" t="n"/>
      <c r="S3" s="1159" t="n"/>
      <c r="T3" s="624" t="n"/>
      <c r="U3" s="1158" t="n"/>
      <c r="V3" s="625" t="inlineStr">
        <is>
          <t>Pool open for season. Switched from trichlor tabs to liquid chlorine (Pool Tech 12.5%) due to high CYA. Pulled tabs from skimmer/feeder.</t>
        </is>
      </c>
    </row>
    <row r="4" ht="20" customHeight="1">
      <c r="A4" s="1163" t="inlineStr">
        <is>
          <t>2026-06-18</t>
        </is>
      </c>
      <c r="B4" s="1164" t="inlineStr">
        <is>
          <t>evening</t>
        </is>
      </c>
      <c r="C4" s="1164" t="inlineStr">
        <is>
          <t>DOSE</t>
        </is>
      </c>
      <c r="D4" s="1165" t="n"/>
      <c r="E4" s="1165" t="n"/>
      <c r="F4" s="1165" t="n"/>
      <c r="G4" s="1165" t="n"/>
      <c r="H4" s="1165" t="n"/>
      <c r="I4" s="1166" t="n"/>
      <c r="J4" s="1167" t="n"/>
      <c r="K4" s="1167" t="n"/>
      <c r="L4" s="1167" t="n"/>
      <c r="M4" s="1165" t="n">
        <v>3</v>
      </c>
      <c r="N4" s="1165" t="n">
        <v>3</v>
      </c>
      <c r="O4" s="1165" t="n"/>
      <c r="P4" s="1168" t="n"/>
      <c r="Q4" s="1165" t="n"/>
      <c r="R4" s="1165" t="n"/>
      <c r="S4" s="1165" t="n"/>
      <c r="T4" s="631" t="n"/>
      <c r="U4" s="1164" t="n"/>
      <c r="V4" s="632" t="inlineStr">
        <is>
          <t>Initial 3 gal added; let pump run overnight to mix. FC before ~0.4.</t>
        </is>
      </c>
    </row>
    <row r="5" ht="20" customHeight="1">
      <c r="A5" s="1169" t="inlineStr">
        <is>
          <t>2026-06-19</t>
        </is>
      </c>
      <c r="B5" s="1170" t="inlineStr">
        <is>
          <t>12:01</t>
        </is>
      </c>
      <c r="C5" s="1170" t="inlineStr">
        <is>
          <t>TEST</t>
        </is>
      </c>
      <c r="D5" s="1171" t="n">
        <v>7.3</v>
      </c>
      <c r="E5" s="1171" t="n">
        <v>3.4</v>
      </c>
      <c r="F5" s="1171" t="n">
        <v>0.2</v>
      </c>
      <c r="G5" s="1171" t="n"/>
      <c r="H5" s="1171" t="n"/>
      <c r="I5" s="1172" t="n"/>
      <c r="J5" s="1173" t="n">
        <v>140</v>
      </c>
      <c r="K5" s="1173" t="n">
        <v>160</v>
      </c>
      <c r="L5" s="1173" t="inlineStr">
        <is>
          <t>~100</t>
        </is>
      </c>
      <c r="M5" s="1171" t="n"/>
      <c r="N5" s="1171" t="n"/>
      <c r="O5" s="1171" t="n">
        <v>13.7</v>
      </c>
      <c r="P5" s="1174" t="n">
        <v>0</v>
      </c>
      <c r="Q5" s="1171" t="n"/>
      <c r="R5" s="1171" t="n"/>
      <c r="S5" s="1171" t="n"/>
      <c r="T5" s="813" t="n"/>
      <c r="U5" s="1170" t="n"/>
      <c r="V5" s="814" t="inlineStr">
        <is>
          <t>25 mL fill, x0.2. First clean panel. (CYA later found &gt;100 - see 6/20.)</t>
        </is>
      </c>
    </row>
    <row r="6" ht="20" customHeight="1">
      <c r="A6" s="1175" t="inlineStr">
        <is>
          <t>2026-06-19</t>
        </is>
      </c>
      <c r="B6" s="1176" t="inlineStr">
        <is>
          <t>14:00</t>
        </is>
      </c>
      <c r="C6" s="1176" t="inlineStr">
        <is>
          <t>DOSE</t>
        </is>
      </c>
      <c r="D6" s="1177" t="n"/>
      <c r="E6" s="1177" t="n"/>
      <c r="F6" s="1177" t="n"/>
      <c r="G6" s="1177" t="n"/>
      <c r="H6" s="1177" t="n"/>
      <c r="I6" s="1178" t="n"/>
      <c r="J6" s="1179" t="n"/>
      <c r="K6" s="1179" t="n"/>
      <c r="L6" s="1179" t="n"/>
      <c r="M6" s="1177" t="n">
        <v>1.5</v>
      </c>
      <c r="N6" s="1177" t="n">
        <v>4.5</v>
      </c>
      <c r="O6" s="1177" t="n"/>
      <c r="P6" s="1180" t="n"/>
      <c r="Q6" s="1177" t="n"/>
      <c r="R6" s="1177" t="n"/>
      <c r="S6" s="1177" t="n"/>
      <c r="T6" s="820" t="n"/>
      <c r="U6" s="1176" t="n"/>
      <c r="V6" s="821" t="inlineStr">
        <is>
          <t>Added to correct low FC (3.4 below floor). Est. +5.1 -&gt; ~8.5. Pump running.</t>
        </is>
      </c>
    </row>
    <row r="7" ht="20" customHeight="1">
      <c r="A7" s="1181" t="inlineStr">
        <is>
          <t>2026-06-19</t>
        </is>
      </c>
      <c r="B7" s="1182" t="inlineStr">
        <is>
          <t>22:00</t>
        </is>
      </c>
      <c r="C7" s="1182" t="inlineStr">
        <is>
          <t>PUMP</t>
        </is>
      </c>
      <c r="D7" s="1183" t="n"/>
      <c r="E7" s="1183" t="n"/>
      <c r="F7" s="1183" t="n"/>
      <c r="G7" s="1183" t="n"/>
      <c r="H7" s="1183" t="n"/>
      <c r="I7" s="1184" t="n"/>
      <c r="J7" s="1185" t="n"/>
      <c r="K7" s="1185" t="n"/>
      <c r="L7" s="1185" t="n"/>
      <c r="M7" s="1183" t="n"/>
      <c r="N7" s="1183" t="n"/>
      <c r="O7" s="1183" t="n"/>
      <c r="P7" s="1186" t="n"/>
      <c r="Q7" s="1183" t="n"/>
      <c r="R7" s="1183" t="n"/>
      <c r="S7" s="1183" t="n"/>
      <c r="T7" s="827" t="n"/>
      <c r="U7" s="1182" t="n"/>
      <c r="V7" s="828" t="inlineStr">
        <is>
          <t>Pump OFF for night (~10 PM, approximate - planned schedule).</t>
        </is>
      </c>
    </row>
    <row r="8" ht="20" customHeight="1">
      <c r="A8" s="1157" t="inlineStr">
        <is>
          <t>2026-06-20</t>
        </is>
      </c>
      <c r="B8" s="1158" t="inlineStr">
        <is>
          <t>07:00</t>
        </is>
      </c>
      <c r="C8" s="1158" t="inlineStr">
        <is>
          <t>PUMP</t>
        </is>
      </c>
      <c r="D8" s="1159" t="n"/>
      <c r="E8" s="1159" t="n"/>
      <c r="F8" s="1159" t="n"/>
      <c r="G8" s="1159" t="n"/>
      <c r="H8" s="1159" t="n"/>
      <c r="I8" s="1160" t="n"/>
      <c r="J8" s="1161" t="n"/>
      <c r="K8" s="1161" t="n"/>
      <c r="L8" s="1161" t="n"/>
      <c r="M8" s="1159" t="n"/>
      <c r="N8" s="1159" t="n"/>
      <c r="O8" s="1159" t="n"/>
      <c r="P8" s="1162" t="n"/>
      <c r="Q8" s="1159" t="n"/>
      <c r="R8" s="1159" t="n"/>
      <c r="S8" s="1159" t="n"/>
      <c r="T8" s="624" t="n"/>
      <c r="U8" s="1158" t="n"/>
      <c r="V8" s="625" t="inlineStr">
        <is>
          <t>Pump ON for the day (~7 AM, approximate - planned schedule).</t>
        </is>
      </c>
    </row>
    <row r="9">
      <c r="A9" s="1187" t="inlineStr">
        <is>
          <t>2026-06-20</t>
        </is>
      </c>
      <c r="B9" s="1188" t="inlineStr">
        <is>
          <t>12:00</t>
        </is>
      </c>
      <c r="C9" s="1188" t="inlineStr">
        <is>
          <t>TEST</t>
        </is>
      </c>
      <c r="D9" s="1189" t="n">
        <v>7.3</v>
      </c>
      <c r="E9" s="1189" t="n">
        <v>4.6</v>
      </c>
      <c r="F9" s="1189" t="n">
        <v>0.2</v>
      </c>
      <c r="G9" s="1189" t="n">
        <v>4.1</v>
      </c>
      <c r="H9" s="1189" t="n"/>
      <c r="I9" s="1190" t="n"/>
      <c r="J9" s="1191" t="n">
        <v>130</v>
      </c>
      <c r="K9" s="1191" t="n">
        <v>150</v>
      </c>
      <c r="L9" s="1191" t="inlineStr">
        <is>
          <t>&gt;100</t>
        </is>
      </c>
      <c r="M9" s="1189" t="n"/>
      <c r="N9" s="1189" t="n"/>
      <c r="O9" s="1189" t="n">
        <v>14</v>
      </c>
      <c r="P9" s="1192" t="n">
        <v>0</v>
      </c>
      <c r="Q9" s="1189" t="n"/>
      <c r="R9" s="1189" t="n"/>
      <c r="S9" s="1189" t="n"/>
      <c r="T9" s="659" t="inlineStr">
        <is>
          <t>Super sunny, dry, low humidity, 80s</t>
        </is>
      </c>
      <c r="U9" s="1188" t="n"/>
      <c r="V9" s="660" t="inlineStr">
        <is>
          <t>25 mL x0.2. FC dropped ~8.5-&gt;4.6 (~3.9/22hr) = ~4 ppm/day sunny-day loss. CYA off scale (&gt;100).</t>
        </is>
      </c>
    </row>
    <row r="10">
      <c r="A10" s="1187" t="inlineStr">
        <is>
          <t>2026-06-20</t>
        </is>
      </c>
      <c r="B10" s="1188" t="inlineStr">
        <is>
          <t>afternoon</t>
        </is>
      </c>
      <c r="C10" s="1188" t="inlineStr">
        <is>
          <t>TEST</t>
        </is>
      </c>
      <c r="D10" s="1189" t="n"/>
      <c r="E10" s="1189" t="n"/>
      <c r="F10" s="1189" t="n"/>
      <c r="G10" s="1189" t="n"/>
      <c r="H10" s="1189" t="n"/>
      <c r="I10" s="1190" t="n"/>
      <c r="J10" s="1191" t="n"/>
      <c r="K10" s="1191" t="n"/>
      <c r="L10" s="1191" t="inlineStr">
        <is>
          <t>~160</t>
        </is>
      </c>
      <c r="M10" s="1189" t="n"/>
      <c r="N10" s="1189" t="n"/>
      <c r="O10" s="1189" t="n"/>
      <c r="P10" s="1192" t="n"/>
      <c r="Q10" s="1189" t="n"/>
      <c r="R10" s="1189" t="n"/>
      <c r="S10" s="1189" t="n"/>
      <c r="T10" s="659" t="n"/>
      <c r="U10" s="1188" t="n"/>
      <c r="V10" s="660" t="inlineStr">
        <is>
          <t>Diluted CYA test: 50/50 pool+distilled read ~80, x2 = ~160. Old reagents, approximate (+/-15).</t>
        </is>
      </c>
    </row>
    <row r="11" ht="20" customHeight="1">
      <c r="A11" s="1187" t="inlineStr">
        <is>
          <t>2026-06-20</t>
        </is>
      </c>
      <c r="B11" s="1188" t="inlineStr">
        <is>
          <t>afternoon</t>
        </is>
      </c>
      <c r="C11" s="1188" t="inlineStr">
        <is>
          <t>DOSE</t>
        </is>
      </c>
      <c r="D11" s="1189" t="n"/>
      <c r="E11" s="1189" t="n"/>
      <c r="F11" s="1189" t="n"/>
      <c r="G11" s="1189" t="n"/>
      <c r="H11" s="1189" t="n"/>
      <c r="I11" s="1190" t="n"/>
      <c r="J11" s="1191" t="n"/>
      <c r="K11" s="1191" t="n"/>
      <c r="L11" s="1191" t="n"/>
      <c r="M11" s="1189" t="n">
        <v>2</v>
      </c>
      <c r="N11" s="1189" t="n">
        <v>6.5</v>
      </c>
      <c r="O11" s="1189" t="n"/>
      <c r="P11" s="1192" t="n"/>
      <c r="Q11" s="1189" t="n"/>
      <c r="R11" s="1189" t="n"/>
      <c r="S11" s="1189" t="n"/>
      <c r="T11" s="659" t="n"/>
      <c r="U11" s="1188" t="n"/>
      <c r="V11" s="660" t="inlineStr">
        <is>
          <t>Top-up toward target band for CYA ~160 (floor ~11).</t>
        </is>
      </c>
    </row>
    <row r="12" ht="20" customHeight="1">
      <c r="A12" s="1163" t="inlineStr">
        <is>
          <t>2026-06-20</t>
        </is>
      </c>
      <c r="B12" s="1164" t="inlineStr">
        <is>
          <t>22:00</t>
        </is>
      </c>
      <c r="C12" s="1164" t="inlineStr">
        <is>
          <t>PUMP</t>
        </is>
      </c>
      <c r="D12" s="1165" t="n"/>
      <c r="E12" s="1165" t="n"/>
      <c r="F12" s="1165" t="n"/>
      <c r="G12" s="1165" t="n"/>
      <c r="H12" s="1165" t="n"/>
      <c r="I12" s="1166" t="n"/>
      <c r="J12" s="1167" t="n"/>
      <c r="K12" s="1167" t="n"/>
      <c r="L12" s="1167" t="n"/>
      <c r="M12" s="1165" t="n"/>
      <c r="N12" s="1165" t="n"/>
      <c r="O12" s="1165" t="n"/>
      <c r="P12" s="1168" t="n"/>
      <c r="Q12" s="1165" t="n"/>
      <c r="R12" s="1165" t="n"/>
      <c r="S12" s="1165" t="n"/>
      <c r="T12" s="631" t="n"/>
      <c r="U12" s="1164" t="n"/>
      <c r="V12" s="632" t="inlineStr">
        <is>
          <t>Pump OFF for night (~10 PM, approximate - planned schedule).</t>
        </is>
      </c>
    </row>
    <row r="13">
      <c r="A13" s="1169" t="inlineStr">
        <is>
          <t>2026-06-21</t>
        </is>
      </c>
      <c r="B13" s="1170" t="n"/>
      <c r="C13" s="1170" t="inlineStr">
        <is>
          <t>NOTE</t>
        </is>
      </c>
      <c r="D13" s="1171" t="n"/>
      <c r="E13" s="1171" t="n"/>
      <c r="F13" s="1171" t="n"/>
      <c r="G13" s="1171" t="n"/>
      <c r="H13" s="1171" t="n"/>
      <c r="I13" s="1172" t="n"/>
      <c r="J13" s="1173" t="n"/>
      <c r="K13" s="1173" t="n"/>
      <c r="L13" s="1173" t="n"/>
      <c r="M13" s="1171" t="n"/>
      <c r="N13" s="1171" t="n"/>
      <c r="O13" s="1171" t="n"/>
      <c r="P13" s="1174" t="n"/>
      <c r="Q13" s="1171" t="n"/>
      <c r="R13" s="1171" t="n"/>
      <c r="S13" s="1171" t="n"/>
      <c r="T13" s="813" t="n"/>
      <c r="U13" s="1170" t="n"/>
      <c r="V13" s="814" t="inlineStr">
        <is>
          <t>No water added today. Dog swam ~1 min (negligible load). Rain expected 6/22 afternoon.</t>
        </is>
      </c>
    </row>
    <row r="14">
      <c r="A14" s="1175" t="inlineStr">
        <is>
          <t>2026-06-21</t>
        </is>
      </c>
      <c r="B14" s="1176" t="inlineStr">
        <is>
          <t>11:15</t>
        </is>
      </c>
      <c r="C14" s="1176" t="inlineStr">
        <is>
          <t>TEST</t>
        </is>
      </c>
      <c r="D14" s="1177" t="n"/>
      <c r="E14" s="1177" t="n">
        <v>10.2</v>
      </c>
      <c r="F14" s="1177" t="n">
        <v>0</v>
      </c>
      <c r="G14" s="1177" t="n">
        <v>1.4</v>
      </c>
      <c r="H14" s="1177" t="n"/>
      <c r="I14" s="1178" t="n"/>
      <c r="J14" s="1179" t="n"/>
      <c r="K14" s="1179" t="n"/>
      <c r="L14" s="1179" t="n"/>
      <c r="M14" s="1177" t="n"/>
      <c r="N14" s="1177" t="n"/>
      <c r="O14" s="1177" t="n">
        <v>13.6</v>
      </c>
      <c r="P14" s="1180" t="n">
        <v>0</v>
      </c>
      <c r="Q14" s="1177" t="n"/>
      <c r="R14" s="1177" t="n"/>
      <c r="S14" s="1177" t="n"/>
      <c r="T14" s="820" t="inlineStr">
        <is>
          <t>Super sunny, dry, low humidity, low-mid 80s</t>
        </is>
      </c>
      <c r="U14" s="1176" t="n"/>
      <c r="V14" s="821" t="inlineStr">
        <is>
          <t>25 mL x0.2. FC 10.2 (just below floor 11), CC 0.</t>
        </is>
      </c>
    </row>
    <row r="15" ht="20" customHeight="1">
      <c r="A15" s="1175" t="inlineStr">
        <is>
          <t>2026-06-21</t>
        </is>
      </c>
      <c r="B15" s="1176" t="inlineStr">
        <is>
          <t>~11:30</t>
        </is>
      </c>
      <c r="C15" s="1176" t="inlineStr">
        <is>
          <t>DOSE</t>
        </is>
      </c>
      <c r="D15" s="1177" t="n"/>
      <c r="E15" s="1177" t="n"/>
      <c r="F15" s="1177" t="n"/>
      <c r="G15" s="1177" t="n"/>
      <c r="H15" s="1177" t="n"/>
      <c r="I15" s="1178" t="n"/>
      <c r="J15" s="1179" t="n"/>
      <c r="K15" s="1179" t="n"/>
      <c r="L15" s="1179" t="n"/>
      <c r="M15" s="1177" t="n">
        <v>1.5</v>
      </c>
      <c r="N15" s="1177" t="n">
        <v>8</v>
      </c>
      <c r="O15" s="1177" t="n"/>
      <c r="P15" s="1180" t="n"/>
      <c r="Q15" s="1177" t="n"/>
      <c r="R15" s="1177" t="n"/>
      <c r="S15" s="1177" t="n"/>
      <c r="T15" s="820" t="n"/>
      <c r="U15" s="1176" t="n"/>
      <c r="V15" s="821" t="inlineStr">
        <is>
          <t>Target top of band ~16. 1.5 gal ~ +5.3 -&gt; ~15.5. Pump running.</t>
        </is>
      </c>
    </row>
    <row r="16" ht="20" customHeight="1">
      <c r="A16" s="1181" t="inlineStr">
        <is>
          <t>2026-06-21</t>
        </is>
      </c>
      <c r="B16" s="1182" t="inlineStr">
        <is>
          <t>22:40</t>
        </is>
      </c>
      <c r="C16" s="1182" t="inlineStr">
        <is>
          <t>PUMP</t>
        </is>
      </c>
      <c r="D16" s="1183" t="n"/>
      <c r="E16" s="1183" t="n"/>
      <c r="F16" s="1183" t="n"/>
      <c r="G16" s="1183" t="n"/>
      <c r="H16" s="1183" t="n"/>
      <c r="I16" s="1184" t="n"/>
      <c r="J16" s="1185" t="n"/>
      <c r="K16" s="1185" t="n"/>
      <c r="L16" s="1185" t="n"/>
      <c r="M16" s="1183" t="n"/>
      <c r="N16" s="1183" t="n"/>
      <c r="O16" s="1183" t="n"/>
      <c r="P16" s="1186" t="n"/>
      <c r="Q16" s="1183" t="n"/>
      <c r="R16" s="1183" t="n"/>
      <c r="S16" s="1183" t="n"/>
      <c r="T16" s="827" t="n"/>
      <c r="U16" s="1182" t="n"/>
      <c r="V16" s="828" t="inlineStr">
        <is>
          <t>Pump OFF for night (~10:40 PM).</t>
        </is>
      </c>
    </row>
    <row r="17" ht="20" customHeight="1">
      <c r="A17" s="1157" t="inlineStr">
        <is>
          <t>2026-06-22</t>
        </is>
      </c>
      <c r="B17" s="1158" t="inlineStr">
        <is>
          <t>07:00</t>
        </is>
      </c>
      <c r="C17" s="1158" t="inlineStr">
        <is>
          <t>PUMP</t>
        </is>
      </c>
      <c r="D17" s="1159" t="n"/>
      <c r="E17" s="1159" t="n"/>
      <c r="F17" s="1159" t="n"/>
      <c r="G17" s="1159" t="n"/>
      <c r="H17" s="1159" t="n"/>
      <c r="I17" s="1160" t="n"/>
      <c r="J17" s="1161" t="n"/>
      <c r="K17" s="1161" t="n"/>
      <c r="L17" s="1161" t="n"/>
      <c r="M17" s="1159" t="n"/>
      <c r="N17" s="1159" t="n"/>
      <c r="O17" s="1159" t="n"/>
      <c r="P17" s="1162" t="n"/>
      <c r="Q17" s="1159" t="n"/>
      <c r="R17" s="1159" t="n"/>
      <c r="S17" s="1159" t="n"/>
      <c r="T17" s="624" t="n"/>
      <c r="U17" s="1158" t="n"/>
      <c r="V17" s="625" t="inlineStr">
        <is>
          <t>Pump ON for the day (7 AM).</t>
        </is>
      </c>
    </row>
    <row r="18">
      <c r="A18" s="1187" t="inlineStr">
        <is>
          <t>2026-06-22</t>
        </is>
      </c>
      <c r="B18" s="1188" t="inlineStr">
        <is>
          <t>11:55</t>
        </is>
      </c>
      <c r="C18" s="1188" t="inlineStr">
        <is>
          <t>TEST</t>
        </is>
      </c>
      <c r="D18" s="1189" t="n"/>
      <c r="E18" s="1189" t="n">
        <v>12</v>
      </c>
      <c r="F18" s="1189" t="n">
        <v>0.4</v>
      </c>
      <c r="G18" s="1189" t="n">
        <v>3.4</v>
      </c>
      <c r="H18" s="1189" t="n"/>
      <c r="I18" s="1190" t="n"/>
      <c r="J18" s="1191" t="n"/>
      <c r="K18" s="1191" t="n"/>
      <c r="L18" s="1191" t="n"/>
      <c r="M18" s="1189" t="n"/>
      <c r="N18" s="1189" t="n"/>
      <c r="O18" s="1189" t="n">
        <v>0.3</v>
      </c>
      <c r="P18" s="1192" t="n">
        <v>0.33</v>
      </c>
      <c r="Q18" s="1189" t="n"/>
      <c r="R18" s="1189" t="n"/>
      <c r="S18" s="1189" t="n"/>
      <c r="T18" s="659" t="inlineStr">
        <is>
          <t>Mostly cloudy, 69F, 74% humidity, 0 in precip</t>
        </is>
      </c>
      <c r="U18" s="1188" t="n"/>
      <c r="V18" s="660" t="inlineStr">
        <is>
          <t>25 mL x0.2. FC 12.0 (above floor 11, below target band 13-16), CC 0.4 (slightly above ~0 goal). Cool/cloudy = low UV loss day.</t>
        </is>
      </c>
    </row>
    <row r="19">
      <c r="A19" s="1187" t="inlineStr">
        <is>
          <t>2026-06-22</t>
        </is>
      </c>
      <c r="B19" s="1188" t="inlineStr">
        <is>
          <t>12:00</t>
        </is>
      </c>
      <c r="C19" s="1188" t="inlineStr">
        <is>
          <t>DOSE</t>
        </is>
      </c>
      <c r="D19" s="1189" t="n"/>
      <c r="E19" s="1189" t="n"/>
      <c r="F19" s="1189" t="n"/>
      <c r="G19" s="1189" t="n"/>
      <c r="H19" s="1189" t="n"/>
      <c r="I19" s="1190" t="n"/>
      <c r="J19" s="1191" t="n"/>
      <c r="K19" s="1191" t="n"/>
      <c r="L19" s="1191" t="n"/>
      <c r="M19" s="1189" t="n">
        <v>1</v>
      </c>
      <c r="N19" s="1189" t="n">
        <v>9</v>
      </c>
      <c r="O19" s="1189" t="n"/>
      <c r="P19" s="1192" t="n"/>
      <c r="Q19" s="1189" t="n"/>
      <c r="R19" s="1189" t="n"/>
      <c r="S19" s="1189" t="n"/>
      <c r="T19" s="659" t="inlineStr">
        <is>
          <t>Mostly cloudy, 69F</t>
        </is>
      </c>
      <c r="U19" s="1188" t="n"/>
      <c r="V19" s="660" t="inlineStr">
        <is>
          <t>Dose to ~16 top of band. 1.0 gal ~ +3.5 -&gt; ~15.5. Conservative on a low-loss cloudy day. Higher FC should clear CC 0.4 by tomorrow. Pump running.</t>
        </is>
      </c>
    </row>
    <row r="20">
      <c r="A20" s="1187" t="inlineStr">
        <is>
          <t>2026-06-22</t>
        </is>
      </c>
      <c r="B20" s="1188" t="inlineStr">
        <is>
          <t>afternoon</t>
        </is>
      </c>
      <c r="C20" s="1188" t="inlineStr">
        <is>
          <t>EVENT - Storm</t>
        </is>
      </c>
      <c r="D20" s="1189" t="n"/>
      <c r="E20" s="1189" t="n"/>
      <c r="F20" s="1189" t="n"/>
      <c r="G20" s="1189" t="n"/>
      <c r="H20" s="1189" t="n"/>
      <c r="I20" s="1190" t="n"/>
      <c r="J20" s="1191" t="n"/>
      <c r="K20" s="1191" t="n"/>
      <c r="L20" s="1191" t="n"/>
      <c r="M20" s="1189" t="n"/>
      <c r="N20" s="1189" t="n"/>
      <c r="O20" s="1189" t="n"/>
      <c r="P20" s="1192" t="n"/>
      <c r="Q20" s="1189" t="n"/>
      <c r="R20" s="1189" t="n"/>
      <c r="S20" s="1189" t="n"/>
      <c r="T20" s="659" t="inlineStr">
        <is>
          <t>Rain/thunderstorms 1 PM through overnight</t>
        </is>
      </c>
      <c r="U20" s="1188" t="n"/>
      <c r="V20" s="660" t="inlineStr">
        <is>
          <t>Forecast: showers building ~1 PM, peak ~6 PM (96%, 0.12 in), rain/TS all evening + overnight. Est. ~0.3-0.4 in today, ~1+ in through Tue AM. ~1,000+ gal rainwater into 34,400 gal pool = passive CYA dilution (~2-3%). Plenty of freeboard, no overfill concern. Negligible FC loss (no UV).</t>
        </is>
      </c>
    </row>
    <row r="21" ht="20" customHeight="1">
      <c r="A21" s="1163" t="inlineStr">
        <is>
          <t>2026-06-22</t>
        </is>
      </c>
      <c r="B21" s="1164" t="inlineStr">
        <is>
          <t>22:10</t>
        </is>
      </c>
      <c r="C21" s="1164" t="inlineStr">
        <is>
          <t>PUMP</t>
        </is>
      </c>
      <c r="D21" s="1165" t="n"/>
      <c r="E21" s="1165" t="n"/>
      <c r="F21" s="1165" t="n"/>
      <c r="G21" s="1165" t="n"/>
      <c r="H21" s="1165" t="n"/>
      <c r="I21" s="1166" t="n"/>
      <c r="J21" s="1167" t="n"/>
      <c r="K21" s="1167" t="n"/>
      <c r="L21" s="1167" t="n"/>
      <c r="M21" s="1165" t="n"/>
      <c r="N21" s="1165" t="n"/>
      <c r="O21" s="1165" t="n"/>
      <c r="P21" s="1168" t="n"/>
      <c r="Q21" s="1165" t="n"/>
      <c r="R21" s="1165" t="n"/>
      <c r="S21" s="1165" t="n"/>
      <c r="T21" s="631" t="n"/>
      <c r="U21" s="1164" t="n"/>
      <c r="V21" s="632" t="inlineStr">
        <is>
          <t>Pump OFF for night (10:10 PM).</t>
        </is>
      </c>
    </row>
    <row r="22" ht="20" customHeight="1">
      <c r="A22" s="1169" t="inlineStr">
        <is>
          <t>2026-06-23</t>
        </is>
      </c>
      <c r="B22" s="1170" t="inlineStr">
        <is>
          <t>07:10</t>
        </is>
      </c>
      <c r="C22" s="1170" t="inlineStr">
        <is>
          <t>PUMP</t>
        </is>
      </c>
      <c r="D22" s="1171" t="n"/>
      <c r="E22" s="1171" t="n"/>
      <c r="F22" s="1171" t="n"/>
      <c r="G22" s="1171" t="n"/>
      <c r="H22" s="1171" t="n"/>
      <c r="I22" s="1172" t="n"/>
      <c r="J22" s="1173" t="n"/>
      <c r="K22" s="1173" t="n"/>
      <c r="L22" s="1173" t="n"/>
      <c r="M22" s="1171" t="n"/>
      <c r="N22" s="1171" t="n"/>
      <c r="O22" s="1171" t="n"/>
      <c r="P22" s="1174" t="n"/>
      <c r="Q22" s="1171" t="n"/>
      <c r="R22" s="1171" t="n"/>
      <c r="S22" s="1171" t="n"/>
      <c r="T22" s="813" t="n"/>
      <c r="U22" s="1170" t="n"/>
      <c r="V22" s="814" t="inlineStr">
        <is>
          <t>Pump ON for the day (7:10 AM).</t>
        </is>
      </c>
    </row>
    <row r="23">
      <c r="A23" s="1175" t="inlineStr">
        <is>
          <t>2026-06-23</t>
        </is>
      </c>
      <c r="B23" s="1176" t="inlineStr">
        <is>
          <t>12:01</t>
        </is>
      </c>
      <c r="C23" s="1176" t="inlineStr">
        <is>
          <t>TEST</t>
        </is>
      </c>
      <c r="D23" s="1177" t="n"/>
      <c r="E23" s="1177" t="n">
        <v>14</v>
      </c>
      <c r="F23" s="1177" t="n">
        <v>0.4</v>
      </c>
      <c r="G23" s="1177" t="n">
        <v>1.5</v>
      </c>
      <c r="H23" s="1177" t="n"/>
      <c r="I23" s="1178" t="n"/>
      <c r="J23" s="1179" t="n"/>
      <c r="K23" s="1179" t="n"/>
      <c r="L23" s="1179" t="n"/>
      <c r="M23" s="1177" t="n"/>
      <c r="N23" s="1177" t="n"/>
      <c r="O23" s="1177" t="n">
        <v>0</v>
      </c>
      <c r="P23" s="1180" t="n">
        <v>0.2</v>
      </c>
      <c r="Q23" s="1177" t="n"/>
      <c r="R23" s="1177" t="n"/>
      <c r="S23" s="1177" t="n"/>
      <c r="T23" s="820" t="inlineStr">
        <is>
          <t>Overcast, 70F, 87% RH; today high 72F, 0.09in precip, UV max 1.1</t>
        </is>
      </c>
      <c r="U23" s="1176" t="n"/>
      <c r="V23" s="821" t="inlineStr">
        <is>
          <t>25 mL x0.2. FC 14.0 (in band 13-16, above floor 11), CC 0.4. CC holding at 0.4 (same as 6/22) - below 0.5 flag but 2nd day, watching.</t>
        </is>
      </c>
    </row>
    <row r="24">
      <c r="A24" s="1181" t="inlineStr">
        <is>
          <t>2026-06-23</t>
        </is>
      </c>
      <c r="B24" s="1182" t="inlineStr">
        <is>
          <t>~12:30</t>
        </is>
      </c>
      <c r="C24" s="1182" t="inlineStr">
        <is>
          <t>DOSE</t>
        </is>
      </c>
      <c r="D24" s="1183" t="n"/>
      <c r="E24" s="1183" t="n"/>
      <c r="F24" s="1183" t="n"/>
      <c r="G24" s="1183" t="n"/>
      <c r="H24" s="1183" t="n"/>
      <c r="I24" s="1184" t="n"/>
      <c r="J24" s="1185" t="n"/>
      <c r="K24" s="1185" t="n"/>
      <c r="L24" s="1185" t="n"/>
      <c r="M24" s="1183" t="n">
        <v>0.5</v>
      </c>
      <c r="N24" s="1183" t="n">
        <v>9.5</v>
      </c>
      <c r="O24" s="1183" t="n"/>
      <c r="P24" s="1186" t="n"/>
      <c r="Q24" s="1183" t="n"/>
      <c r="R24" s="1183" t="n"/>
      <c r="S24" s="1183" t="n"/>
      <c r="T24" s="827" t="inlineStr">
        <is>
          <t>Overcast, 70F, low UV</t>
        </is>
      </c>
      <c r="U24" s="1182" t="n"/>
      <c r="V24" s="828" t="inlineStr">
        <is>
          <t>0.5 gal ~ +1.75 -&gt; ~15.8 (top of band ~16). Cloudy/low-UV day, est ~1.75 ppm loss -&gt; ~14 next noon, still in band. Higher FC should help clear CC 0.4. Added ~12:30 PM, pump running.</t>
        </is>
      </c>
    </row>
    <row r="25">
      <c r="A25" s="1157" t="inlineStr">
        <is>
          <t>2026-06-24</t>
        </is>
      </c>
      <c r="B25" s="1158" t="inlineStr">
        <is>
          <t>13:30</t>
        </is>
      </c>
      <c r="C25" s="1158" t="inlineStr">
        <is>
          <t>TEST</t>
        </is>
      </c>
      <c r="D25" s="1159" t="n">
        <v>7.6</v>
      </c>
      <c r="E25" s="1159" t="n">
        <v>11.2</v>
      </c>
      <c r="F25" s="1159" t="n">
        <v>0</v>
      </c>
      <c r="G25" s="1159" t="n">
        <v>4.6</v>
      </c>
      <c r="H25" s="1159" t="n"/>
      <c r="I25" s="1160" t="n"/>
      <c r="J25" s="1161" t="n">
        <v>170</v>
      </c>
      <c r="K25" s="1161" t="n">
        <v>150</v>
      </c>
      <c r="L25" s="1161" t="n">
        <v>150</v>
      </c>
      <c r="M25" s="1159" t="n"/>
      <c r="N25" s="1159" t="n"/>
      <c r="O25" s="1159" t="n">
        <v>13.6</v>
      </c>
      <c r="P25" s="1162" t="n">
        <v>0</v>
      </c>
      <c r="Q25" s="1159" t="n"/>
      <c r="R25" s="1159" t="n"/>
      <c r="S25" s="1159" t="n"/>
      <c r="T25" s="624" t="inlineStr">
        <is>
          <t>Clear, 79F, 40% RH; today high 80F, 0.00in precip, UV max 7.8</t>
        </is>
      </c>
      <c r="U25" s="1158" t="n"/>
      <c r="V25" s="625" t="inlineStr">
        <is>
          <t>FULL BATTERY on FRESH FAS-DPD reagents (25mL x0.2). FC 11.2 (at floor 11), CC 0.0 (confirms 6/22-23 0.4 was old-reagent noise). CYA ~150 via dilution (was ~160 old) -&gt; new anchor, cya_current=150. TA 170 &amp; pH 7.6 (both up from old ~130/~7.3) - leaving alone per rules, watch pH if &gt;7.8. CH 150 (irrelevant on vinyl). NOTE: fc_loss 4.6 crosses old-&gt;fresh reagent change, partly reagent bias.</t>
        </is>
      </c>
    </row>
    <row r="26">
      <c r="A26" s="1163" t="inlineStr">
        <is>
          <t>2026-06-24</t>
        </is>
      </c>
      <c r="B26" s="1164" t="inlineStr">
        <is>
          <t>~13:45</t>
        </is>
      </c>
      <c r="C26" s="1164" t="inlineStr">
        <is>
          <t>DOSE</t>
        </is>
      </c>
      <c r="D26" s="1165" t="n"/>
      <c r="E26" s="1165" t="n"/>
      <c r="F26" s="1165" t="n"/>
      <c r="G26" s="1165" t="n"/>
      <c r="H26" s="1165" t="n"/>
      <c r="I26" s="1166" t="n"/>
      <c r="J26" s="1167" t="n"/>
      <c r="K26" s="1167" t="n"/>
      <c r="L26" s="1167" t="n"/>
      <c r="M26" s="1165" t="n">
        <v>1.25</v>
      </c>
      <c r="N26" s="1165" t="n">
        <v>10.75</v>
      </c>
      <c r="O26" s="1165" t="n"/>
      <c r="P26" s="1168" t="n"/>
      <c r="Q26" s="1165" t="n"/>
      <c r="R26" s="1165" t="n"/>
      <c r="S26" s="1165" t="n"/>
      <c r="T26" s="631" t="inlineStr">
        <is>
          <t>Clear, 79F, sunny, UV 7.8</t>
        </is>
      </c>
      <c r="U26" s="1164" t="n"/>
      <c r="V26" s="632" t="inlineStr">
        <is>
          <t>Recommended 1.25 gal (rounded up from 1.0 nominal for high-UV day). ~ +4.4 -&gt; FC ~15.6 (aim ~15). Sunny ~4 ppm loss -&gt; ~11.6 next noon, just above floor 11. First big-sun day after rainy stretch. Confirmed added ~1:45 PM. Pump on (auto 7-22).</t>
        </is>
      </c>
    </row>
    <row r="27">
      <c r="A27" s="1169" t="inlineStr">
        <is>
          <t>2026-06-25</t>
        </is>
      </c>
      <c r="B27" s="1170" t="inlineStr">
        <is>
          <t>12:30</t>
        </is>
      </c>
      <c r="C27" s="1170" t="inlineStr">
        <is>
          <t>TEST</t>
        </is>
      </c>
      <c r="D27" s="1171" t="n"/>
      <c r="E27" s="1171" t="n">
        <v>14.4</v>
      </c>
      <c r="F27" s="1171" t="n">
        <v>0</v>
      </c>
      <c r="G27" s="1171" t="n">
        <v>1.2</v>
      </c>
      <c r="H27" s="1171" t="n"/>
      <c r="I27" s="1172" t="n"/>
      <c r="J27" s="1173" t="n"/>
      <c r="K27" s="1173" t="n"/>
      <c r="L27" s="1173" t="n"/>
      <c r="M27" s="1171" t="n"/>
      <c r="N27" s="1171" t="n"/>
      <c r="O27" s="1171" t="n">
        <v>11.6</v>
      </c>
      <c r="P27" s="1174" t="n">
        <v>0</v>
      </c>
      <c r="Q27" s="1171" t="n"/>
      <c r="R27" s="1171" t="n"/>
      <c r="S27" s="1171" t="n"/>
      <c r="T27" s="813" t="inlineStr">
        <is>
          <t>Clear, 75F, 40% RH; today high 80F, 0.00in precip, UV max 7.8</t>
        </is>
      </c>
      <c r="U27" s="1170" t="n"/>
      <c r="V27" s="814" t="inlineStr">
        <is>
          <t>25mL x0.2. FC 14.4 (in band 13-15, at aim 15), CC 0.0. Yesterday's ~15.6 -&gt; 14.4 = only ~1.2 ppm loss over ~23h vs ~4 projected. Dose-timing artifact (dosed 1:45PM, missed peak UV) + high-CYA protection. Watching whether sunny=4.0 in dose.py is too high.</t>
        </is>
      </c>
    </row>
    <row r="28">
      <c r="A28" s="1181" t="inlineStr">
        <is>
          <t>2026-06-25</t>
        </is>
      </c>
      <c r="B28" s="1182" t="inlineStr">
        <is>
          <t>18:30</t>
        </is>
      </c>
      <c r="C28" s="1182" t="inlineStr">
        <is>
          <t>DOSE</t>
        </is>
      </c>
      <c r="D28" s="1183" t="n"/>
      <c r="E28" s="1183" t="n"/>
      <c r="F28" s="1183" t="n"/>
      <c r="G28" s="1183" t="n"/>
      <c r="H28" s="1183" t="n"/>
      <c r="I28" s="1184" t="n"/>
      <c r="J28" s="1185" t="n"/>
      <c r="K28" s="1185" t="n"/>
      <c r="L28" s="1185" t="n"/>
      <c r="M28" s="1183" t="n">
        <v>0.25</v>
      </c>
      <c r="N28" s="1183" t="n">
        <v>11</v>
      </c>
      <c r="O28" s="1183" t="n"/>
      <c r="P28" s="1186" t="n"/>
      <c r="Q28" s="1183" t="n"/>
      <c r="R28" s="1183" t="n"/>
      <c r="S28" s="1183" t="n"/>
      <c r="T28" s="827" t="inlineStr">
        <is>
          <t>Clear, 75F, sunny, UV 7.8</t>
        </is>
      </c>
      <c r="U28" s="1182" t="n"/>
      <c r="V28" s="828" t="inlineStr">
        <is>
          <t>0.25 gal top-up. First evening dose under new routine. Added 6:30 PM - pool already out of direct sun by then (shaded earlier than ~8:25 sunset). FC 14.4 at aim -&gt; ~15.3, minimal overnight loss. Pump on (auto off 10 PM).</t>
        </is>
      </c>
    </row>
    <row r="29">
      <c r="A29" s="1157" t="inlineStr">
        <is>
          <t>2026-06-26</t>
        </is>
      </c>
      <c r="B29" s="1158" t="inlineStr">
        <is>
          <t>12:25</t>
        </is>
      </c>
      <c r="C29" s="1158" t="inlineStr">
        <is>
          <t>TEST</t>
        </is>
      </c>
      <c r="D29" s="1159" t="n"/>
      <c r="E29" s="1159" t="n">
        <v>14.2</v>
      </c>
      <c r="F29" s="1159" t="n">
        <v>0</v>
      </c>
      <c r="G29" s="1159" t="n">
        <v>1.1</v>
      </c>
      <c r="H29" s="1159" t="n"/>
      <c r="I29" s="1160" t="n"/>
      <c r="J29" s="1161" t="n"/>
      <c r="K29" s="1161" t="n"/>
      <c r="L29" s="1161" t="n"/>
      <c r="M29" s="1159" t="n"/>
      <c r="N29" s="1159" t="n"/>
      <c r="O29" s="1159" t="n">
        <v>5.8</v>
      </c>
      <c r="P29" s="1162" t="n">
        <v>1.36</v>
      </c>
      <c r="Q29" s="1159" t="n"/>
      <c r="R29" s="1159" t="n"/>
      <c r="S29" s="1159" t="n"/>
      <c r="T29" s="624" t="inlineStr">
        <is>
          <t>Overcast, 69F, 94% RH; today high 75F, 0.15in precip, UV max 5.8</t>
        </is>
      </c>
      <c r="U29" s="1158" t="n"/>
      <c r="V29" s="625" t="inlineStr">
        <is>
          <t>25mL x0.2. FC 14.2 (in band 13-15), CC 0.0. Evening-dose validation: 15.3 (6:30PM dose 6/25) -&gt; 14.2 = ~1.1 ppm loss over ~18h (rain/overcast, evening dose skipped all UV). Some rain overnight.</t>
        </is>
      </c>
    </row>
    <row r="30">
      <c r="A30" s="1163" t="inlineStr">
        <is>
          <t>2026-06-26</t>
        </is>
      </c>
      <c r="B30" s="1164" t="inlineStr">
        <is>
          <t>12:25</t>
        </is>
      </c>
      <c r="C30" s="1164" t="inlineStr">
        <is>
          <t>NOTE</t>
        </is>
      </c>
      <c r="D30" s="1165" t="n"/>
      <c r="E30" s="1165" t="n"/>
      <c r="F30" s="1165" t="n"/>
      <c r="G30" s="1165" t="n"/>
      <c r="H30" s="1165" t="n"/>
      <c r="I30" s="1166" t="n"/>
      <c r="J30" s="1167" t="n"/>
      <c r="K30" s="1167" t="n"/>
      <c r="L30" s="1167" t="n"/>
      <c r="M30" s="1165" t="n"/>
      <c r="N30" s="1165" t="n"/>
      <c r="O30" s="1165" t="n"/>
      <c r="P30" s="1168" t="n"/>
      <c r="Q30" s="1165" t="n"/>
      <c r="R30" s="1165" t="n"/>
      <c r="S30" s="1165" t="n"/>
      <c r="T30" s="631" t="inlineStr">
        <is>
          <t>Overcast/rain, low UV</t>
        </is>
      </c>
      <c r="U30" s="1164" t="n"/>
      <c r="V30" s="632" t="inlineStr">
        <is>
          <t>NO DOSE today. FC 14.2 well in band on a low-loss rainy day; projected ~13 by next noon, above floor 11. Held chlorine for efficiency (dose.py nominal was 0.25 to top of band).</t>
        </is>
      </c>
    </row>
    <row r="31">
      <c r="A31" s="1169" t="inlineStr">
        <is>
          <t>2026-06-27</t>
        </is>
      </c>
      <c r="B31" s="1170" t="inlineStr">
        <is>
          <t>12:35</t>
        </is>
      </c>
      <c r="C31" s="1170" t="inlineStr">
        <is>
          <t>TEST</t>
        </is>
      </c>
      <c r="D31" s="1171" t="n"/>
      <c r="E31" s="1171" t="n">
        <v>10.6</v>
      </c>
      <c r="F31" s="1171" t="n">
        <v>0</v>
      </c>
      <c r="G31" s="1171" t="n">
        <v>3.6</v>
      </c>
      <c r="H31" s="1171" t="n"/>
      <c r="I31" s="1172" t="n"/>
      <c r="J31" s="1173" t="n"/>
      <c r="K31" s="1173" t="n"/>
      <c r="L31" s="1173" t="n"/>
      <c r="M31" s="1171" t="n"/>
      <c r="N31" s="1171" t="n"/>
      <c r="O31" s="1171" t="n">
        <v>5.2</v>
      </c>
      <c r="P31" s="1174" t="n">
        <v>0</v>
      </c>
      <c r="Q31" s="1171" t="n"/>
      <c r="R31" s="1171" t="n"/>
      <c r="S31" s="1171" t="n"/>
      <c r="T31" s="813" t="inlineStr">
        <is>
          <t>Sunny AM (~5 sunshine hrs), clouded over ~12:25; 77-79F</t>
        </is>
      </c>
      <c r="U31" s="1170" t="inlineStr">
        <is>
          <t>2026-06-27_1-3.jpg</t>
        </is>
      </c>
      <c r="V31" s="814" t="inlineStr">
        <is>
          <t>25mL x0.2. FC 10.6 (just below floor 11), CC 0.0. Loss 14.2-&gt;10.6 = ~3.6 ppm/24h = NORMAL sunny-day loss: morning was super sunny (weather.py noon snapshot wrongly read overcast). No demand issue - water clear, no algae, ladder not yet installed. PHOTOS (3): water CLEAR - bottom/steps crisp across deep+shallow, clean blue, no green/algae, waterline clean. Surface streaks = tree-shadow reflections (overcast). Shallow floor near steps shows mild mottling/light patches - reads as liner speckle pattern + lighting, NOT algae; no obvious iron/rust stain visible. For stain tracking, want a straight-down close-up of the suspected spot near returns in even shade (less glare).</t>
        </is>
      </c>
    </row>
    <row r="32">
      <c r="A32" s="1181" t="inlineStr">
        <is>
          <t>2026-06-27</t>
        </is>
      </c>
      <c r="B32" s="1182" t="inlineStr">
        <is>
          <t>17:35</t>
        </is>
      </c>
      <c r="C32" s="1182" t="inlineStr">
        <is>
          <t>DOSE</t>
        </is>
      </c>
      <c r="D32" s="1183" t="n"/>
      <c r="E32" s="1183" t="n"/>
      <c r="F32" s="1183" t="n"/>
      <c r="G32" s="1183" t="n"/>
      <c r="H32" s="1183" t="n">
        <v>12.8</v>
      </c>
      <c r="I32" s="1184" t="n"/>
      <c r="J32" s="1185" t="n"/>
      <c r="K32" s="1185" t="n"/>
      <c r="L32" s="1185" t="n"/>
      <c r="M32" s="1183" t="n">
        <v>1.5</v>
      </c>
      <c r="N32" s="1183" t="n">
        <v>12.5</v>
      </c>
      <c r="O32" s="1183" t="n"/>
      <c r="P32" s="1186" t="n"/>
      <c r="Q32" s="1183" t="n"/>
      <c r="R32" s="1183" t="n"/>
      <c r="S32" s="1183" t="n"/>
      <c r="T32" s="827" t="inlineStr">
        <is>
          <t>Overcast, 79F</t>
        </is>
      </c>
      <c r="U32" s="1182" t="n"/>
      <c r="V32" s="828" t="inlineStr">
        <is>
          <t>1.5 gal added 5:35 PM (pool shaded, pump running). Rebuild after FC dipped just below floor; 1.5 gal ~ +5.25 -&gt; ~15.8. Season total 12.5 gal.</t>
        </is>
      </c>
    </row>
    <row r="33">
      <c r="A33" s="1157" t="inlineStr">
        <is>
          <t>2026-06-28</t>
        </is>
      </c>
      <c r="B33" s="1158" t="inlineStr">
        <is>
          <t>12:40</t>
        </is>
      </c>
      <c r="C33" s="1158" t="inlineStr">
        <is>
          <t>TEST</t>
        </is>
      </c>
      <c r="D33" s="1159" t="n"/>
      <c r="E33" s="1159" t="n">
        <v>12.8</v>
      </c>
      <c r="F33" s="1159" t="n">
        <v>0.2</v>
      </c>
      <c r="G33" s="1159" t="n">
        <v>3</v>
      </c>
      <c r="H33" s="1159" t="n"/>
      <c r="I33" s="1160" t="n">
        <v>0</v>
      </c>
      <c r="J33" s="1161" t="n"/>
      <c r="K33" s="1161" t="n"/>
      <c r="L33" s="1161" t="n"/>
      <c r="M33" s="1159" t="n"/>
      <c r="N33" s="1159" t="n"/>
      <c r="O33" s="1159" t="n">
        <v>9.300000000000001</v>
      </c>
      <c r="P33" s="1162" t="n">
        <v>0</v>
      </c>
      <c r="Q33" s="1159" t="n"/>
      <c r="R33" s="1159" t="n">
        <v>79</v>
      </c>
      <c r="S33" s="1159" t="n"/>
      <c r="T33" s="624" t="inlineStr">
        <is>
          <t>Sunny day (~9 sun hrs), 75-79F, clouded at midday; UV max 7.5</t>
        </is>
      </c>
      <c r="U33" s="1158" t="inlineStr">
        <is>
          <t>2026-06-28_1-4.jpg</t>
        </is>
      </c>
      <c r="V33" s="625" t="inlineStr">
        <is>
          <t>25mL x0.2. FC 12.8 (in band 13-15), CC 0.2 (trace = 1 drop; was 0.0 - watch). Loss ~3.0 ppm/19h from 6/27 eve dose (~15.8) - normal for a 67%-sun morning. Evening-dose routine holding well. WATER TEMP 79F. PHOTOS(4): water still clear (bottom visible), clean blue, no algae. Scattered debris specks (dirt/organic from landscaping today) on surface+floor + faint plume (stir-up/fresh dose) - cosmetic, filter/skim will clear; brush/vac if it settles. Straight-down near return: normal speckled liner, NO clear iron/rust stain (loose debris on top, not staining). Debris vacuumed + skimmed out same day -&gt; negligible Cl demand expected; treat tomorrow loss as normal.</t>
        </is>
      </c>
    </row>
    <row r="34">
      <c r="A34" s="1163" t="inlineStr">
        <is>
          <t>2026-06-28</t>
        </is>
      </c>
      <c r="B34" s="1164" t="inlineStr">
        <is>
          <t>~17:55</t>
        </is>
      </c>
      <c r="C34" s="1164" t="inlineStr">
        <is>
          <t>DOSE</t>
        </is>
      </c>
      <c r="D34" s="1165" t="n"/>
      <c r="E34" s="1165" t="n"/>
      <c r="F34" s="1165" t="n"/>
      <c r="G34" s="1165" t="n"/>
      <c r="H34" s="1165" t="n">
        <v>12.3</v>
      </c>
      <c r="I34" s="1166" t="n"/>
      <c r="J34" s="1167" t="n"/>
      <c r="K34" s="1167" t="n"/>
      <c r="L34" s="1167" t="n"/>
      <c r="M34" s="1165" t="n">
        <v>1</v>
      </c>
      <c r="N34" s="1165" t="n">
        <v>13.5</v>
      </c>
      <c r="O34" s="1165" t="n"/>
      <c r="P34" s="1168" t="n"/>
      <c r="Q34" s="1165" t="n"/>
      <c r="R34" s="1165" t="n"/>
      <c r="S34" s="1165" t="n"/>
      <c r="T34" s="631" t="inlineStr">
        <is>
          <t>Sunny, 75-79F, UV 7.5</t>
        </is>
      </c>
      <c r="U34" s="1164" t="n"/>
      <c r="V34" s="632" t="inlineStr">
        <is>
          <t>1.0 gal added ~5:55 PM (photos timestamped 5:59; pool shaded, pump running). Targets ~15. Season total 13.5 gal.</t>
        </is>
      </c>
    </row>
    <row r="35">
      <c r="A35" s="1169" t="inlineStr">
        <is>
          <t>2026-06-29</t>
        </is>
      </c>
      <c r="B35" s="1170" t="inlineStr">
        <is>
          <t>12:10</t>
        </is>
      </c>
      <c r="C35" s="1170" t="inlineStr">
        <is>
          <t>TEST</t>
        </is>
      </c>
      <c r="D35" s="1171" t="n"/>
      <c r="E35" s="1171" t="n">
        <v>14</v>
      </c>
      <c r="F35" s="1171" t="n">
        <v>0.2</v>
      </c>
      <c r="G35" s="1171" t="n">
        <v>2.3</v>
      </c>
      <c r="H35" s="1171" t="n"/>
      <c r="I35" s="1172" t="n">
        <v>1.7</v>
      </c>
      <c r="J35" s="1173" t="n"/>
      <c r="K35" s="1173" t="n"/>
      <c r="L35" s="1173" t="n"/>
      <c r="M35" s="1171" t="n"/>
      <c r="N35" s="1171" t="n"/>
      <c r="O35" s="1171" t="n">
        <v>12.2</v>
      </c>
      <c r="P35" s="1174" t="n">
        <v>0</v>
      </c>
      <c r="Q35" s="1171" t="n"/>
      <c r="R35" s="1171" t="n">
        <v>80</v>
      </c>
      <c r="S35" s="1171" t="n"/>
      <c r="T35" s="813" t="inlineStr">
        <is>
          <t>Very sunny + hot (~12 sun hrs), high 82F, UV 7.8; hot all week</t>
        </is>
      </c>
      <c r="U35" s="1170" t="inlineStr">
        <is>
          <t>2026-06-29_1-4.jpg</t>
        </is>
      </c>
      <c r="V35" s="814" t="inlineStr">
        <is>
          <t>25mL x0.2. FC 14.0 (in band 13-15, near aim), CC 0.2 (trace, holding ~0.2 - not climbing). Loss 2.3 ppm/24h (evening dose dodged afternoon UV). VERY sunny + hot week ahead -&gt; expect high daily UV demand; dose to top of band each evening for buffer, do NOT skip. PHOTOS(4): water clear+healthy (evening), clean blue, no algae, good clarity after dose+fill. Better stairs/return close-up: liner shows normal speckled pattern, NO clear iron/rust stain visible - if present it is subtle/masked. Ascorbic-acid SPOT TEST is the definitive check.</t>
        </is>
      </c>
    </row>
    <row r="36">
      <c r="A36" s="1175" t="inlineStr">
        <is>
          <t>2026-06-29</t>
        </is>
      </c>
      <c r="B36" s="1176" t="inlineStr">
        <is>
          <t>18:30</t>
        </is>
      </c>
      <c r="C36" s="1176" t="inlineStr">
        <is>
          <t>DOSE</t>
        </is>
      </c>
      <c r="D36" s="1177" t="n"/>
      <c r="E36" s="1177" t="n"/>
      <c r="F36" s="1177" t="n"/>
      <c r="G36" s="1177" t="n"/>
      <c r="H36" s="1177" t="n">
        <v>14.2</v>
      </c>
      <c r="I36" s="1178" t="n"/>
      <c r="J36" s="1179" t="n"/>
      <c r="K36" s="1179" t="n"/>
      <c r="L36" s="1179" t="n"/>
      <c r="M36" s="1177" t="n">
        <v>1.5</v>
      </c>
      <c r="N36" s="1177" t="n">
        <v>15</v>
      </c>
      <c r="O36" s="1177" t="n"/>
      <c r="P36" s="1180" t="n"/>
      <c r="Q36" s="1177" t="n"/>
      <c r="R36" s="1177" t="n"/>
      <c r="S36" s="1177" t="n"/>
      <c r="T36" s="820" t="inlineStr">
        <is>
          <t>Very sunny, high 82F, UV 7.8</t>
        </is>
      </c>
      <c r="U36" s="1176" t="n"/>
      <c r="V36" s="821" t="inlineStr">
        <is>
          <t>1.5 gal added 6:30 PM (leftover 0.5 + full 1.0 - easier than measuring 0.25). ~ +5.25 -&gt; ~16.5-17 evening; buffer for hot very-sunny day. Projects ~14 next noon. Season total 15.0 gal.</t>
        </is>
      </c>
    </row>
    <row r="37">
      <c r="A37" s="1181" t="inlineStr">
        <is>
          <t>2026-06-29</t>
        </is>
      </c>
      <c r="B37" s="1182" t="inlineStr">
        <is>
          <t>evening</t>
        </is>
      </c>
      <c r="C37" s="1182" t="inlineStr">
        <is>
          <t>EVENT - Fill</t>
        </is>
      </c>
      <c r="D37" s="1183" t="n"/>
      <c r="E37" s="1183" t="n"/>
      <c r="F37" s="1183" t="n"/>
      <c r="G37" s="1183" t="n"/>
      <c r="H37" s="1183" t="n"/>
      <c r="I37" s="1184" t="n"/>
      <c r="J37" s="1185" t="n"/>
      <c r="K37" s="1185" t="n"/>
      <c r="L37" s="1185" t="n"/>
      <c r="M37" s="1183" t="n"/>
      <c r="N37" s="1183" t="n"/>
      <c r="O37" s="1183" t="n"/>
      <c r="P37" s="1186" t="n"/>
      <c r="Q37" s="1183" t="n">
        <v>93</v>
      </c>
      <c r="R37" s="1183" t="n"/>
      <c r="S37" s="1183" t="n"/>
      <c r="T37" s="827" t="n"/>
      <c r="U37" s="1182" t="n"/>
      <c r="V37" s="828" t="inlineStr">
        <is>
          <t>Well-water top-off: hose 30 min @ ~3.1 GPM = ~93 gal into 34,400. CYA dilution ~0.3% (~0.4 ppm) - negligible/day, nudges passive CYA lowering. Brings well metals (Fe/Mn) -&gt; sequestrant pending (John checking for metal-out). Week well-water cumulative: ~93 gal.</t>
        </is>
      </c>
    </row>
    <row r="38">
      <c r="A38" s="1157" t="inlineStr">
        <is>
          <t>2026-06-30</t>
        </is>
      </c>
      <c r="B38" s="1158" t="inlineStr">
        <is>
          <t>12:15</t>
        </is>
      </c>
      <c r="C38" s="1158" t="inlineStr">
        <is>
          <t>TEST</t>
        </is>
      </c>
      <c r="D38" s="1159" t="n"/>
      <c r="E38" s="1159" t="n">
        <v>14.6</v>
      </c>
      <c r="F38" s="1159" t="n">
        <v>0</v>
      </c>
      <c r="G38" s="1159" t="n">
        <v>4.7</v>
      </c>
      <c r="H38" s="1159" t="n"/>
      <c r="I38" s="1160" t="n">
        <v>0.4</v>
      </c>
      <c r="J38" s="1161" t="n"/>
      <c r="K38" s="1161" t="n"/>
      <c r="L38" s="1161" t="n"/>
      <c r="M38" s="1159" t="n"/>
      <c r="N38" s="1159" t="n"/>
      <c r="O38" s="1159" t="n">
        <v>10.2</v>
      </c>
      <c r="P38" s="1162" t="n">
        <v>0</v>
      </c>
      <c r="Q38" s="1159" t="n"/>
      <c r="R38" s="1159" t="n">
        <v>80.5</v>
      </c>
      <c r="S38" s="1159" t="n"/>
      <c r="T38" s="624" t="inlineStr">
        <is>
          <t>Super sunny + hot, high 84F (~10 sun hrs), UV 7.9</t>
        </is>
      </c>
      <c r="U38" s="1158" t="inlineStr">
        <is>
          <t>2026-06-30_1-4.jpg</t>
        </is>
      </c>
      <c r="V38" s="625" t="inlineStr">
        <is>
          <t>25mL x0.2. FC 14.6 (in band 13-15, near aim), CC 0.0 (the 0.2 trace cleared - higher FC worked). Loss 4.7 ppm/24h - hot very-sunny day; last night's 1.5 gal buffer absorbed it, still in band. Water 80.5F (warming). Hotter today (84F). PHOTOS(4): water clear+healthy (evening), clean blue, no algae, bottom visible; minor surface ripple from fill. No new stain concerns.</t>
        </is>
      </c>
    </row>
    <row r="39">
      <c r="A39" s="1187" t="inlineStr">
        <is>
          <t>2026-06-30</t>
        </is>
      </c>
      <c r="B39" s="1188" t="inlineStr">
        <is>
          <t>18:50</t>
        </is>
      </c>
      <c r="C39" s="1188" t="inlineStr">
        <is>
          <t>DOSE</t>
        </is>
      </c>
      <c r="D39" s="1189" t="n"/>
      <c r="E39" s="1189" t="n"/>
      <c r="F39" s="1189" t="n"/>
      <c r="G39" s="1189" t="n"/>
      <c r="H39" s="1189" t="n">
        <v>14.8</v>
      </c>
      <c r="I39" s="1190" t="n"/>
      <c r="J39" s="1191" t="n"/>
      <c r="K39" s="1191" t="n"/>
      <c r="L39" s="1191" t="n"/>
      <c r="M39" s="1189" t="n">
        <v>1.5</v>
      </c>
      <c r="N39" s="1189" t="n">
        <v>16.5</v>
      </c>
      <c r="O39" s="1189" t="n"/>
      <c r="P39" s="1192" t="n"/>
      <c r="Q39" s="1189" t="n"/>
      <c r="R39" s="1189" t="n"/>
      <c r="S39" s="1189" t="n"/>
      <c r="T39" s="659" t="inlineStr">
        <is>
          <t>Super sunny, high 84F, UV 7.9</t>
        </is>
      </c>
      <c r="U39" s="1188" t="n"/>
      <c r="V39" s="660" t="inlineStr">
        <is>
          <t>1.5 gal added 6:50 PM (pump running). ~ +5.25 -&gt; ~16.5-17 evening; buffer for hot sunny stretch. Projects ~12-13 next noon. Season total 16.5 gal.</t>
        </is>
      </c>
    </row>
    <row r="40">
      <c r="A40" s="1163" t="inlineStr">
        <is>
          <t>2026-06-30</t>
        </is>
      </c>
      <c r="B40" s="1164" t="inlineStr">
        <is>
          <t>evening</t>
        </is>
      </c>
      <c r="C40" s="1164" t="inlineStr">
        <is>
          <t>EVENT - Fill</t>
        </is>
      </c>
      <c r="D40" s="1165" t="n"/>
      <c r="E40" s="1165" t="n"/>
      <c r="F40" s="1165" t="n"/>
      <c r="G40" s="1165" t="n"/>
      <c r="H40" s="1165" t="n"/>
      <c r="I40" s="1166" t="n"/>
      <c r="J40" s="1167" t="n"/>
      <c r="K40" s="1167" t="n"/>
      <c r="L40" s="1167" t="n"/>
      <c r="M40" s="1165" t="n"/>
      <c r="N40" s="1165" t="n"/>
      <c r="O40" s="1165" t="n"/>
      <c r="P40" s="1168" t="n"/>
      <c r="Q40" s="1165" t="n">
        <v>158</v>
      </c>
      <c r="R40" s="1165" t="n"/>
      <c r="S40" s="1165" t="n"/>
      <c r="T40" s="631" t="n"/>
      <c r="U40" s="1164" t="n"/>
      <c r="V40" s="632" t="inlineStr">
        <is>
          <t>Well-water top-off: hose 51 min @ ~3.1 GPM = ~158 gal into 34,400 (level +~0.32 in / 5/16). CYA dilution ~0.5% (~0.7 ppm). Brings well metals -&gt; sequestrant (Pool Mate Metal Out) to be dosed later. WEEK well-water cumulative: ~251 gal (6/29 93 + 6/30 158).</t>
        </is>
      </c>
    </row>
    <row r="41">
      <c r="A41" s="1169" t="inlineStr">
        <is>
          <t>2026-07-01</t>
        </is>
      </c>
      <c r="B41" s="1170" t="inlineStr">
        <is>
          <t>12:10</t>
        </is>
      </c>
      <c r="C41" s="1170" t="inlineStr">
        <is>
          <t>TEST</t>
        </is>
      </c>
      <c r="D41" s="1171" t="n"/>
      <c r="E41" s="1171" t="n">
        <v>14.8</v>
      </c>
      <c r="F41" s="1171" t="n">
        <v>0.2</v>
      </c>
      <c r="G41" s="1171" t="n">
        <v>5.1</v>
      </c>
      <c r="H41" s="1171" t="n"/>
      <c r="I41" s="1172" t="n">
        <v>0</v>
      </c>
      <c r="J41" s="1173" t="n"/>
      <c r="K41" s="1173" t="n"/>
      <c r="L41" s="1173" t="n"/>
      <c r="M41" s="1171" t="n"/>
      <c r="N41" s="1171" t="n"/>
      <c r="O41" s="1171" t="n">
        <v>12</v>
      </c>
      <c r="P41" s="1174" t="n">
        <v>0.47</v>
      </c>
      <c r="Q41" s="1171" t="n"/>
      <c r="R41" s="1171" t="n">
        <v>81</v>
      </c>
      <c r="S41" s="1171" t="n"/>
      <c r="T41" s="813" t="inlineStr">
        <is>
          <t>Clear, 81F, 77% RH; today high 86F, 0.47in precip (early/later, not midday), UV max 7.9</t>
        </is>
      </c>
      <c r="U41" s="1170" t="inlineStr">
        <is>
          <t>2026-07-01_1-3.jpg</t>
        </is>
      </c>
      <c r="V41" s="814" t="inlineStr">
        <is>
          <t>25mL x0.2. FC 14.8 (in band 13-15, at aim), CC 0.2 (trace). FC loss 5.1 ppm/24h (14.6 + 1.5gal dose - 14.8) - hottest/sunniest day yet (high 86F, ~12 sun hrs). Auto weather bucket said 'rain' from accumulated daily precip, but midday conditions are Clear/sunny (83% sun so far) - overrode to sunny bucket for dosing. PHOTOS(3): water clear+healthy (evening ~7:36PM), clean blue, bottom visible, no algae; a couple leaves floating (cosmetic - skimmer/filter clears). ZOOMED stair close-up (best look yet): normal blue speckled liner on the curved steps + decorative border; only minor debris/shadow in step corners; NO clear iron/rust or manganese stain visible - no progression vs prior days. Ascorbic-acid spot test remains the definitive check.</t>
        </is>
      </c>
    </row>
    <row r="42">
      <c r="A42" s="1181" t="inlineStr">
        <is>
          <t>2026-07-01</t>
        </is>
      </c>
      <c r="B42" s="1182" t="inlineStr">
        <is>
          <t>19:30</t>
        </is>
      </c>
      <c r="C42" s="1182" t="inlineStr">
        <is>
          <t>DOSE</t>
        </is>
      </c>
      <c r="D42" s="1183" t="n"/>
      <c r="E42" s="1183" t="n"/>
      <c r="F42" s="1183" t="n"/>
      <c r="G42" s="1183" t="n"/>
      <c r="H42" s="1183" t="n">
        <v>15.1</v>
      </c>
      <c r="I42" s="1184" t="n"/>
      <c r="J42" s="1185" t="n"/>
      <c r="K42" s="1185" t="n"/>
      <c r="L42" s="1185" t="n"/>
      <c r="M42" s="1183" t="n">
        <v>1.5</v>
      </c>
      <c r="N42" s="1183" t="n">
        <v>18</v>
      </c>
      <c r="O42" s="1183" t="n"/>
      <c r="P42" s="1186" t="n"/>
      <c r="Q42" s="1183" t="n"/>
      <c r="R42" s="1183" t="n"/>
      <c r="S42" s="1183" t="n"/>
      <c r="T42" s="827" t="inlineStr">
        <is>
          <t>Hot/sunny, high 86F, UV 7.9</t>
        </is>
      </c>
      <c r="U42" s="1182" t="n"/>
      <c r="V42" s="828" t="inlineStr">
        <is>
          <t>1.5 gal added 7:30 PM (pump running; within the 6:30-9:15 window). Calibrated evening-model rec (L24=5.0, hot &amp; sunny: sun 12h, water 81F); ~ +5.25. Held buffer on the hottest/sunniest day yet per no-skip lesson (daytime calc alone said 0). Season total 18.0 gal.</t>
        </is>
      </c>
    </row>
    <row r="43">
      <c r="A43" s="1157" t="inlineStr">
        <is>
          <t>2026-07-02</t>
        </is>
      </c>
      <c r="B43" s="1158" t="inlineStr">
        <is>
          <t>12:30</t>
        </is>
      </c>
      <c r="C43" s="1158" t="inlineStr">
        <is>
          <t>TEST</t>
        </is>
      </c>
      <c r="D43" s="1159" t="n"/>
      <c r="E43" s="1159" t="n">
        <v>17.2</v>
      </c>
      <c r="F43" s="1159" t="n">
        <v>0</v>
      </c>
      <c r="G43" s="1159" t="n">
        <v>2.9</v>
      </c>
      <c r="H43" s="1159" t="n"/>
      <c r="I43" s="1160" t="n">
        <v>2.1</v>
      </c>
      <c r="J43" s="1161" t="n"/>
      <c r="K43" s="1161" t="n"/>
      <c r="L43" s="1161" t="n"/>
      <c r="M43" s="1159" t="n"/>
      <c r="N43" s="1159" t="n"/>
      <c r="O43" s="1159" t="n">
        <v>13.2</v>
      </c>
      <c r="P43" s="1162" t="n">
        <v>0</v>
      </c>
      <c r="Q43" s="1159" t="n"/>
      <c r="R43" s="1159" t="n">
        <v>83</v>
      </c>
      <c r="S43" s="1159" t="n"/>
      <c r="T43" s="624" t="inlineStr">
        <is>
          <t>Clear now, 85F, 83% RH; sun so far 5.4h of 7h daylight (76%); today high 92F, 0.00in precip, UV max 7.9</t>
        </is>
      </c>
      <c r="U43" s="1158" t="n"/>
      <c r="V43" s="625" t="inlineStr">
        <is>
          <t>Pred error unusually large (+2.1) vs last night's 15.1 projection, despite a hot/sunny day where loss should run faster, not slower. John also flagged uncertainty about R-0870 powder dosing (dipper is small, gets crusty) -- but powder amount isn't part of the FAS-DPD titration math, so that's an unlikely source. Worth watching next test to see if this was a one-off read or a real trend.</t>
        </is>
      </c>
    </row>
    <row r="44">
      <c r="A44" s="1187" t="inlineStr">
        <is>
          <t>2026-07-02</t>
        </is>
      </c>
      <c r="B44" s="1188" t="inlineStr">
        <is>
          <t>19:45</t>
        </is>
      </c>
      <c r="C44" s="1188" t="inlineStr">
        <is>
          <t>TEST</t>
        </is>
      </c>
      <c r="D44" s="1189" t="n"/>
      <c r="E44" s="1189" t="n">
        <v>15.4</v>
      </c>
      <c r="F44" s="1189" t="n">
        <v>0.4</v>
      </c>
      <c r="G44" s="1189" t="n"/>
      <c r="H44" s="1189" t="n"/>
      <c r="I44" s="1190" t="n"/>
      <c r="J44" s="1191" t="n"/>
      <c r="K44" s="1191" t="n"/>
      <c r="L44" s="1191" t="n"/>
      <c r="M44" s="1189" t="n"/>
      <c r="N44" s="1189" t="n"/>
      <c r="O44" s="1189" t="n"/>
      <c r="P44" s="1192" t="n"/>
      <c r="Q44" s="1189" t="n"/>
      <c r="R44" s="1189" t="n"/>
      <c r="S44" s="1189" t="n">
        <v>11.9</v>
      </c>
      <c r="T44" s="659" t="n"/>
      <c r="U44" s="1188" t="inlineStr">
        <is>
          <t>2026-07-02_1.jpeg;2026-07-02_2.jpeg;2026-07-02_3.jpeg;2026-07-02_4.jpeg</t>
        </is>
      </c>
      <c r="V44" s="660" t="inlineStr">
        <is>
          <t>Evening recheck before dosing, requested for peace-of-mind after noon's unexpectedly high FC (17.2) and the R-0870 dosing question. Decline from noon (17.2 -&gt; 15.4 over ~7.25h, pool shaded after ~6:30PM) tracks a plausible hot/sunny-day afternoon loss -- consistent with noon reading being real, not a fluke. CC ticked up slightly (0.0 -&gt; 0.4), normal for end of a hot/high-use day, still low. FC loss/Pred error left blank on this row -- not a comparable 24h noon-to-noon measurement, would corrupt the loss-rate tracking if filled in via the standard formula. PHOTOS(4): wide pool shots both look clear/healthy, clean blue, no algae; zoomed liner-corner close-up shows normal blue speckled texture, no clear rust/stain progression. New this entry: John mounted a graduated ruler to the skimmer faceplate to start tracking water level -- photo documents the ruler installation, no specific level reading called out yet (nothing invented here; will log a real number once John reports one).</t>
        </is>
      </c>
    </row>
    <row r="45">
      <c r="A45" s="1163" t="inlineStr">
        <is>
          <t>2026-07-02</t>
        </is>
      </c>
      <c r="B45" s="1164" t="inlineStr">
        <is>
          <t>20:30</t>
        </is>
      </c>
      <c r="C45" s="1164" t="inlineStr">
        <is>
          <t>DOSE</t>
        </is>
      </c>
      <c r="D45" s="1165" t="n"/>
      <c r="E45" s="1165" t="n"/>
      <c r="F45" s="1165" t="n"/>
      <c r="G45" s="1165" t="n"/>
      <c r="H45" s="1165" t="n">
        <v>15.7</v>
      </c>
      <c r="I45" s="1166" t="n"/>
      <c r="J45" s="1167" t="n"/>
      <c r="K45" s="1167" t="n"/>
      <c r="L45" s="1167" t="n"/>
      <c r="M45" s="1165" t="n">
        <v>1</v>
      </c>
      <c r="N45" s="1165" t="n">
        <v>19</v>
      </c>
      <c r="O45" s="1165" t="n"/>
      <c r="P45" s="1168" t="n"/>
      <c r="Q45" s="1165" t="n"/>
      <c r="R45" s="1165" t="n"/>
      <c r="S45" s="1165" t="n"/>
      <c r="T45" s="631" t="inlineStr">
        <is>
          <t>Hot/sunny, high 92F, water 83F, UV 7.9</t>
        </is>
      </c>
      <c r="U45" s="1164" t="n"/>
      <c r="V45" s="632" t="inlineStr">
        <is>
          <t>1.0 gal added 8:30 PM (pump running; within the 6:30-9:15 window, before 10 PM off). Calibrated evening model off today's NOON FC 17.2 (the model's intended anchor), L24=5.0 (hot &amp; sunny: 13.2 sun hrs, water 83F). Raw 0.80 -&gt; rounded 1.0 gal. Evening recheck (15.4 at 7:45 PM) confirmed the noon 17.2 was a real reading, not a fluke -- NOT used as the dose anchor (would double-count the ~1.8 ppm afternoon loss already reflected in it). Season total 19.0 gal. NOTE: this morning's forward prediction missed high (pred 15.1, actual 17.2, +2.1) -&gt; model may be over-estimating loss on hot/sunny days; if tomorrow also lands above the 15.7 projection, consider trimming CONFIG['evening_l24']['l24_hot_sunny'].</t>
        </is>
      </c>
    </row>
    <row r="46">
      <c r="A46" s="1193" t="inlineStr">
        <is>
          <t>2026-07-03</t>
        </is>
      </c>
      <c r="B46" s="1194" t="inlineStr">
        <is>
          <t>12:15</t>
        </is>
      </c>
      <c r="C46" s="1194" t="inlineStr">
        <is>
          <t>TEST</t>
        </is>
      </c>
      <c r="D46" s="1195" t="n"/>
      <c r="E46" s="1195" t="n">
        <v>16.6</v>
      </c>
      <c r="F46" s="1195" t="n">
        <v>0.6</v>
      </c>
      <c r="G46" s="1195" t="n">
        <v>4.1</v>
      </c>
      <c r="H46" s="1195" t="n"/>
      <c r="I46" s="1196" t="n">
        <v>0.9</v>
      </c>
      <c r="J46" s="1197" t="n"/>
      <c r="K46" s="1197" t="n"/>
      <c r="L46" s="1197" t="n"/>
      <c r="M46" s="1195" t="n"/>
      <c r="N46" s="1195" t="n"/>
      <c r="O46" s="1195" t="n">
        <v>13.2</v>
      </c>
      <c r="P46" s="1198" t="n">
        <v>0</v>
      </c>
      <c r="Q46" s="1195" t="n"/>
      <c r="R46" s="1195" t="n">
        <v>84.5</v>
      </c>
      <c r="S46" s="1195" t="n">
        <v>11.8</v>
      </c>
      <c r="T46" s="1199" t="inlineStr">
        <is>
          <t>Clear now, 89F, 64% RH; sun so far 6.4h of 7h daylight (92%); today high 94F, 0.00in precip, UV max 7.8</t>
        </is>
      </c>
      <c r="U46" s="1194" t="n"/>
      <c r="V46" s="1200" t="inlineStr">
        <is>
          <t>25mL x0.2. FC 16.6, CC 0.6. (John wrote 'CC=16.6' but that's FC; a 16.6 combined chlorine is implausible -- logged as FC.) FC loss 4.1 ppm/24h = 17.2 (7/2 NOON) + 1.0gal x3.5 - 16.6, computed noon-to-noon; NOT the 2.3 daily_calc.py reported (it used the 7/2 evening recheck 15.4 as baseline -&gt; ~16.5h window, non-comparable). WATCH: CC creeping 0.0 -&gt; 0.4 -&gt; 0.6 over ~24h; still a trace, and higher FC should oxidize it away, but note the direction -- flag if it climbs past ~1.0. Pred error +0.9 (actual 16.6 vs 7/2 dose's 15.7 projection): model over-predicted loss again but by less than 7/2's +2.1 -- two straight hot/sunny days where real loss ran under the L24=5.0 estimate; watch a 3rd before nudging dose.py's l24_hot_sunny down. Water level 11.8 cm (was 11.9 on 7/2; -0.1 within ruler/reading noise, ruler adhesion still iffy). Hot day: high 94F, water 84.5F, ~13 sun hrs.</t>
        </is>
      </c>
    </row>
  </sheetData>
  <mergeCells count="1"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6"/>
  <sheetViews>
    <sheetView zoomScaleNormal="100" workbookViewId="0">
      <selection activeCell="A1" sqref="A1"/>
    </sheetView>
  </sheetViews>
  <sheetFormatPr baseColWidth="8" defaultColWidth="8.7109375" defaultRowHeight="15"/>
  <cols>
    <col width="30" customWidth="1" min="1" max="1"/>
    <col width="70" customWidth="1" min="2" max="2"/>
  </cols>
  <sheetData>
    <row r="1" ht="15" customHeight="1">
      <c r="A1" s="1" t="inlineStr">
        <is>
          <t>POOL REFERENCE</t>
        </is>
      </c>
      <c r="B1" s="2" t="n"/>
    </row>
    <row r="2" ht="15" customHeight="1">
      <c r="A2" s="3" t="n"/>
      <c r="B2" s="2" t="n"/>
    </row>
    <row r="3" ht="15" customHeight="1">
      <c r="A3" s="3" t="inlineStr">
        <is>
          <t>Pool volume</t>
        </is>
      </c>
      <c r="B3" s="2" t="inlineStr">
        <is>
          <t>~34,400 gallons (20x40, 3 ft -&gt; 8.5 ft slope, avg 5.75 ft)</t>
        </is>
      </c>
    </row>
    <row r="4" ht="15" customHeight="1">
      <c r="A4" s="3" t="inlineStr">
        <is>
          <t>Liner</t>
        </is>
      </c>
      <c r="B4" s="2" t="inlineStr">
        <is>
          <t>Vinyl</t>
        </is>
      </c>
    </row>
    <row r="5" ht="15" customHeight="1">
      <c r="A5" s="3" t="inlineStr">
        <is>
          <t>Pump</t>
        </is>
      </c>
      <c r="B5" s="2" t="inlineStr">
        <is>
          <t>Hayward Super Pump SP1600, 3/4 HP, 120V (motor SPX1605Z1M)</t>
        </is>
      </c>
    </row>
    <row r="6" ht="15" customHeight="1">
      <c r="A6" s="3" t="inlineStr">
        <is>
          <t>Filter</t>
        </is>
      </c>
      <c r="B6" s="2" t="inlineStr">
        <is>
          <t>Pentair Nautilus FNS Plus 48 sq ft D.E.</t>
        </is>
      </c>
    </row>
    <row r="7" ht="15" customHeight="1">
      <c r="A7" s="3" t="inlineStr">
        <is>
          <t>Multiport valve</t>
        </is>
      </c>
      <c r="B7" s="2" t="inlineStr">
        <is>
          <t>Praher SM10-2D.E. (G-416 spider gasket replaced)</t>
        </is>
      </c>
    </row>
    <row r="8" ht="15" customHeight="1">
      <c r="A8" s="3" t="inlineStr">
        <is>
          <t>Well flow rate</t>
        </is>
      </c>
      <c r="B8" s="2" t="inlineStr">
        <is>
          <t>~3.1 GPM (5 gal / 96 sec)</t>
        </is>
      </c>
    </row>
    <row r="9" ht="15" customHeight="1">
      <c r="A9" s="3" t="n"/>
      <c r="B9" s="2" t="n"/>
    </row>
    <row r="10" ht="15" customHeight="1">
      <c r="A10" s="1" t="inlineStr">
        <is>
          <t>CHLORINE / DOSING</t>
        </is>
      </c>
      <c r="B10" s="2" t="n"/>
    </row>
    <row r="11" ht="15" customHeight="1">
      <c r="A11" s="3" t="inlineStr">
        <is>
          <t>Chlorine product</t>
        </is>
      </c>
      <c r="B11" s="2" t="inlineStr">
        <is>
          <t>Pool Tech 12.5% sodium hypochlorite (liquid)</t>
        </is>
      </c>
    </row>
    <row r="12" ht="15" customHeight="1">
      <c r="A12" s="3" t="inlineStr">
        <is>
          <t>Dosing rule</t>
        </is>
      </c>
      <c r="B12" s="2" t="inlineStr">
        <is>
          <t>~1 gallon raises FC ~3.5 ppm in this pool</t>
        </is>
      </c>
    </row>
    <row r="13" ht="15" customHeight="1">
      <c r="A13" s="3" t="n"/>
      <c r="B13" s="2" t="inlineStr">
        <is>
          <t>(~36 oz per +1 ppm)</t>
        </is>
      </c>
    </row>
    <row r="14" ht="15" customHeight="1">
      <c r="A14" s="3" t="n"/>
      <c r="B14" s="2" t="n"/>
    </row>
    <row r="15" ht="15" customHeight="1">
      <c r="A15" s="3" t="inlineStr">
        <is>
          <t>TARGET BANDS (depend on CYA)</t>
        </is>
      </c>
      <c r="B15" s="2" t="n"/>
    </row>
    <row r="16" ht="15" customHeight="1">
      <c r="A16" s="3" t="inlineStr">
        <is>
          <t>At CYA ~160 (current)</t>
        </is>
      </c>
      <c r="B16" s="2" t="inlineStr">
        <is>
          <t>FC floor 11, target 13-16, aim ~16 when dosing</t>
        </is>
      </c>
    </row>
    <row r="17" ht="15" customHeight="1">
      <c r="A17" s="3" t="inlineStr">
        <is>
          <t>At CYA ~100</t>
        </is>
      </c>
      <c r="B17" s="2" t="inlineStr">
        <is>
          <t>FC floor 7, target ~11</t>
        </is>
      </c>
    </row>
    <row r="18" ht="15" customHeight="1">
      <c r="A18" s="3" t="inlineStr">
        <is>
          <t>At CYA ~80</t>
        </is>
      </c>
      <c r="B18" s="2" t="inlineStr">
        <is>
          <t>FC ~6-9</t>
        </is>
      </c>
    </row>
    <row r="19" ht="15" customHeight="1">
      <c r="A19" s="3" t="inlineStr">
        <is>
          <t>At CYA ~50</t>
        </is>
      </c>
      <c r="B19" s="2" t="inlineStr">
        <is>
          <t>FC ~4-6</t>
        </is>
      </c>
    </row>
    <row r="20" ht="15" customHeight="1">
      <c r="A20" s="3" t="n"/>
      <c r="B20" s="2" t="n"/>
    </row>
    <row r="21" ht="15" customHeight="1">
      <c r="A21" s="1" t="inlineStr">
        <is>
          <t>CURRENT CHEMISTRY STATUS</t>
        </is>
      </c>
      <c r="B21" s="2" t="n"/>
    </row>
    <row r="22" ht="15" customHeight="1">
      <c r="A22" s="3" t="inlineStr">
        <is>
          <t>pH 7.3</t>
        </is>
      </c>
      <c r="B22" s="2" t="inlineStr">
        <is>
          <t>Fine, leave alone</t>
        </is>
      </c>
    </row>
    <row r="23" ht="15" customHeight="1">
      <c r="A23" s="3" t="inlineStr">
        <is>
          <t>TA ~130-140</t>
        </is>
      </c>
      <c r="B23" s="2" t="inlineStr">
        <is>
          <t>Slightly high, drifting down on its own, leave</t>
        </is>
      </c>
    </row>
    <row r="24" ht="15" customHeight="1">
      <c r="A24" s="3" t="inlineStr">
        <is>
          <t>CH ~150-160</t>
        </is>
      </c>
      <c r="B24" s="2" t="inlineStr">
        <is>
          <t>Vinyl liner - ignore, do not add calcium</t>
        </is>
      </c>
    </row>
    <row r="25" ht="15" customHeight="1">
      <c r="A25" s="3" t="inlineStr">
        <is>
          <t>CYA ~160</t>
        </is>
      </c>
      <c r="B25" s="2" t="inlineStr">
        <is>
          <t>High; lowering passively via backwash+freshwater, rain, top-offs</t>
        </is>
      </c>
    </row>
    <row r="26" ht="15" customHeight="1">
      <c r="A26" s="3" t="inlineStr">
        <is>
          <t>CC</t>
        </is>
      </c>
      <c r="B26" s="2" t="inlineStr">
        <is>
          <t>Keep at/near 0 (high FC clears it)</t>
        </is>
      </c>
    </row>
    <row r="27" ht="15" customHeight="1">
      <c r="A27" s="3" t="n"/>
      <c r="B27" s="2" t="n"/>
    </row>
    <row r="28" ht="15" customHeight="1">
      <c r="A28" s="1" t="inlineStr">
        <is>
          <t>TESTING METHOD</t>
        </is>
      </c>
      <c r="B28" s="2" t="n"/>
    </row>
    <row r="29" ht="15" customHeight="1">
      <c r="A29" s="3" t="inlineStr">
        <is>
          <t>FC/CC</t>
        </is>
      </c>
      <c r="B29" s="2" t="inlineStr">
        <is>
          <t>ALWAYS 25 mL fill, drops x 0.2</t>
        </is>
      </c>
    </row>
    <row r="30" ht="15" customHeight="1">
      <c r="A30" s="3" t="inlineStr">
        <is>
          <t>Routine</t>
        </is>
      </c>
      <c r="B30" s="2" t="inlineStr">
        <is>
          <t>Test + dose at noon daily (test first, then dose)</t>
        </is>
      </c>
    </row>
    <row r="31" ht="15" customHeight="1">
      <c r="A31" s="3" t="inlineStr">
        <is>
          <t>Pump schedule</t>
        </is>
      </c>
      <c r="B31" s="2" t="inlineStr">
        <is>
          <t>On ~7 AM, off ~10 PM</t>
        </is>
      </c>
    </row>
    <row r="32" ht="15" customHeight="1">
      <c r="A32" s="3" t="n"/>
      <c r="B32" s="2" t="n"/>
    </row>
    <row r="33" ht="15" customHeight="1">
      <c r="A33" s="1" t="inlineStr">
        <is>
          <t>OPEN ITEMS</t>
        </is>
      </c>
      <c r="B33" s="2" t="n"/>
    </row>
    <row r="34" ht="25.5" customHeight="1">
      <c r="A34" s="3" t="inlineStr">
        <is>
          <t>CYA reduction</t>
        </is>
      </c>
      <c r="B34" s="2" t="inlineStr">
        <is>
          <t>Passive only (no drawdown - protect 3 GPM well). Recheck CYA every few weeks.</t>
        </is>
      </c>
    </row>
    <row r="35" ht="25.5" customHeight="1">
      <c r="A35" s="3" t="inlineStr">
        <is>
          <t>Metal stain (shallow end)</t>
        </is>
      </c>
      <c r="B35" s="2" t="inlineStr">
        <is>
          <t>Suspected; confirm with vitamin C / ascorbic acid spot test. Treatment deferred (ideally fall closing).</t>
        </is>
      </c>
    </row>
    <row r="36" ht="15" customHeight="1">
      <c r="A36" s="3" t="inlineStr">
        <is>
          <t>Reagent refill</t>
        </is>
      </c>
      <c r="B36" s="2" t="inlineStr">
        <is>
          <t>Ordered; full FAS-DPD refill. Use fresh once arrived.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2026-06-22T13:28:57Z</dcterms:created>
  <dcterms:modified xmlns:dcterms="http://purl.org/dc/terms/" xmlns:xsi="http://www.w3.org/2001/XMLSchema-instance" xsi:type="dcterms:W3CDTF">2026-07-03T16:29:51Z</dcterms:modified>
  <cp:lastModifiedBy>John Evans</cp:lastModifiedBy>
  <cp:revision>0</cp:revision>
</cp:coreProperties>
</file>